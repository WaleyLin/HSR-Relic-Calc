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acters" sheetId="1" r:id="rId5"/>
    <sheet state="visible" name="SetValues" sheetId="2" r:id="rId6"/>
    <sheet state="visible" name="Domain" sheetId="3" r:id="rId7"/>
  </sheets>
  <definedNames/>
  <calcPr/>
</workbook>
</file>

<file path=xl/sharedStrings.xml><?xml version="1.0" encoding="utf-8"?>
<sst xmlns="http://schemas.openxmlformats.org/spreadsheetml/2006/main" count="163" uniqueCount="109">
  <si>
    <t>Kafka</t>
  </si>
  <si>
    <t>Prisoner</t>
  </si>
  <si>
    <t>Revelry</t>
  </si>
  <si>
    <t>Hysilens</t>
  </si>
  <si>
    <t>Black Swan</t>
  </si>
  <si>
    <t>Pan-Cosmic</t>
  </si>
  <si>
    <t>Hyacine</t>
  </si>
  <si>
    <t>Warrior</t>
  </si>
  <si>
    <t>Giant</t>
  </si>
  <si>
    <t>Phainon</t>
  </si>
  <si>
    <t>Wavestrider</t>
  </si>
  <si>
    <t>Arcadia</t>
  </si>
  <si>
    <t>Sunday</t>
  </si>
  <si>
    <t>Sacerdos</t>
  </si>
  <si>
    <t>Lushaka</t>
  </si>
  <si>
    <t>Dan Heng</t>
  </si>
  <si>
    <t>Self-Enshrouded</t>
  </si>
  <si>
    <t>Cerydra</t>
  </si>
  <si>
    <t>Fugue</t>
  </si>
  <si>
    <t>Iron</t>
  </si>
  <si>
    <t>Forge</t>
  </si>
  <si>
    <t>Lingsha</t>
  </si>
  <si>
    <t>Rappa</t>
  </si>
  <si>
    <t>Talia</t>
  </si>
  <si>
    <t>Ruan Mei</t>
  </si>
  <si>
    <t>Watchmaker</t>
  </si>
  <si>
    <t>Sprightly</t>
  </si>
  <si>
    <t>Cyrene</t>
  </si>
  <si>
    <t>World-Remaking</t>
  </si>
  <si>
    <t>Amphoreus</t>
  </si>
  <si>
    <t>Castorice</t>
  </si>
  <si>
    <t>Poet</t>
  </si>
  <si>
    <t>Bone</t>
  </si>
  <si>
    <t xml:space="preserve"> </t>
  </si>
  <si>
    <t>Tribbie</t>
  </si>
  <si>
    <t>Trailblazer</t>
  </si>
  <si>
    <t>Hero</t>
  </si>
  <si>
    <t>Jiaoqiu</t>
  </si>
  <si>
    <t>Eagle</t>
  </si>
  <si>
    <t>Acheron</t>
  </si>
  <si>
    <t>Pioneer</t>
  </si>
  <si>
    <t>Izumo</t>
  </si>
  <si>
    <t>Sparkle</t>
  </si>
  <si>
    <t>Broken</t>
  </si>
  <si>
    <t>Adventurie</t>
  </si>
  <si>
    <t>Knight</t>
  </si>
  <si>
    <t>Jingliu</t>
  </si>
  <si>
    <t>Scholar</t>
  </si>
  <si>
    <t>Blade</t>
  </si>
  <si>
    <t>Longevous</t>
  </si>
  <si>
    <t>Rutilant</t>
  </si>
  <si>
    <t>Huohuo</t>
  </si>
  <si>
    <t>Passerby</t>
  </si>
  <si>
    <t>Fleet</t>
  </si>
  <si>
    <t>Archer</t>
  </si>
  <si>
    <t>Genius</t>
  </si>
  <si>
    <t>Himeko</t>
  </si>
  <si>
    <t>Ashblazing</t>
  </si>
  <si>
    <t>Inert</t>
  </si>
  <si>
    <t>Bronya</t>
  </si>
  <si>
    <t>Messenger</t>
  </si>
  <si>
    <t>Robin</t>
  </si>
  <si>
    <t>Musketeer</t>
  </si>
  <si>
    <t>Famished Worker</t>
  </si>
  <si>
    <t>Wondrous</t>
  </si>
  <si>
    <t>Path of Aria</t>
  </si>
  <si>
    <t>Path of Hidden Salvation</t>
  </si>
  <si>
    <t>Path of Drifting</t>
  </si>
  <si>
    <t>Path of Dreamdive</t>
  </si>
  <si>
    <t>Path of Cavalier</t>
  </si>
  <si>
    <t>Wind-Soaring</t>
  </si>
  <si>
    <t>Path of Darkness</t>
  </si>
  <si>
    <t>Path of Gelid Wind</t>
  </si>
  <si>
    <t>Hunter</t>
  </si>
  <si>
    <t>Path of Holy Hymn</t>
  </si>
  <si>
    <t>Band</t>
  </si>
  <si>
    <t>Path of Uncertainty</t>
  </si>
  <si>
    <t>Untoppled Walls</t>
  </si>
  <si>
    <t>Space</t>
  </si>
  <si>
    <t>To Sweet Dreams</t>
  </si>
  <si>
    <t>Sigonia</t>
  </si>
  <si>
    <t>Path of Providence</t>
  </si>
  <si>
    <t>Guard</t>
  </si>
  <si>
    <t>Moonlit Blood</t>
  </si>
  <si>
    <t>Fruit of Evil</t>
  </si>
  <si>
    <t>Unceasing Strife</t>
  </si>
  <si>
    <t>Smelted Heart</t>
  </si>
  <si>
    <t>Gentle Words</t>
  </si>
  <si>
    <t>Celestial</t>
  </si>
  <si>
    <t>Path of Thundersurge</t>
  </si>
  <si>
    <t>Path of Elixir Seekers</t>
  </si>
  <si>
    <t>Permafrost</t>
  </si>
  <si>
    <t>Belobog</t>
  </si>
  <si>
    <t>Path of Jabbing Punch</t>
  </si>
  <si>
    <t>Champion</t>
  </si>
  <si>
    <t>Thief</t>
  </si>
  <si>
    <t>Path of Conflagration</t>
  </si>
  <si>
    <t>Firesmith</t>
  </si>
  <si>
    <t>Wastelander</t>
  </si>
  <si>
    <t>Path of Possession</t>
  </si>
  <si>
    <t>Ever-Glorious</t>
  </si>
  <si>
    <t>Diviner</t>
  </si>
  <si>
    <t>Pouring Blades</t>
  </si>
  <si>
    <t>Firmament</t>
  </si>
  <si>
    <t>Penacony</t>
  </si>
  <si>
    <t>Eternal Comedy</t>
  </si>
  <si>
    <t>Duran</t>
  </si>
  <si>
    <t>Within the West Wind</t>
  </si>
  <si>
    <t>Tengoku@Livestream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</si>
</sst>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Times New Roman"/>
    </font>
    <font>
      <sz val="11.0"/>
      <color theme="1"/>
      <name val="Georgia"/>
    </font>
    <font>
      <sz val="11.0"/>
      <color theme="1"/>
      <name val="Cambria"/>
    </font>
    <font>
      <color theme="1"/>
      <name val="Arial"/>
      <scheme val="minor"/>
    </font>
    <font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3">
    <border/>
    <border>
      <right style="thick">
        <color rgb="FF000000"/>
      </right>
    </border>
    <border>
      <left style="thick">
        <color rgb="FF000000"/>
      </left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1" fillId="0" fontId="2" numFmtId="0" xfId="0" applyBorder="1" applyFont="1"/>
    <xf borderId="2" fillId="0" fontId="2" numFmtId="0" xfId="0" applyBorder="1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5.0"/>
    <col customWidth="1" min="3" max="3" width="10.75"/>
    <col customWidth="1" min="4" max="17" width="6.38"/>
  </cols>
  <sheetData>
    <row r="1">
      <c r="A1" s="1" t="s">
        <v>0</v>
      </c>
      <c r="B1" s="1" t="s">
        <v>1</v>
      </c>
      <c r="C1" s="1" t="s">
        <v>2</v>
      </c>
      <c r="D1" s="1">
        <v>6.0</v>
      </c>
      <c r="E1" s="1">
        <v>6.0</v>
      </c>
      <c r="F1" s="1">
        <v>5.0</v>
      </c>
      <c r="G1" s="2">
        <v>4.0</v>
      </c>
      <c r="H1" s="3">
        <v>3.0</v>
      </c>
      <c r="I1" s="1">
        <v>3.0</v>
      </c>
      <c r="J1" s="4">
        <f t="shared" ref="J1:O1" si="1">IF(D1&lt;=2,1,IF(D1=3,0.25,0))</f>
        <v>0</v>
      </c>
      <c r="K1" s="4">
        <f t="shared" si="1"/>
        <v>0</v>
      </c>
      <c r="L1" s="4">
        <f t="shared" si="1"/>
        <v>0</v>
      </c>
      <c r="M1" s="4">
        <f t="shared" si="1"/>
        <v>0</v>
      </c>
      <c r="N1" s="4">
        <f t="shared" si="1"/>
        <v>0.25</v>
      </c>
      <c r="O1" s="4">
        <f t="shared" si="1"/>
        <v>0.25</v>
      </c>
      <c r="P1" s="4">
        <f t="shared" ref="P1:P27" si="3">SUM(J1:M1)</f>
        <v>0</v>
      </c>
      <c r="Q1" s="4">
        <f t="shared" ref="Q1:Q27" si="4">SUM(N1:O1)</f>
        <v>0.5</v>
      </c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3</v>
      </c>
      <c r="B2" s="1" t="s">
        <v>1</v>
      </c>
      <c r="C2" s="1" t="s">
        <v>2</v>
      </c>
      <c r="D2" s="1">
        <v>7.0</v>
      </c>
      <c r="E2" s="1">
        <v>7.0</v>
      </c>
      <c r="F2" s="1">
        <v>4.0</v>
      </c>
      <c r="G2" s="2">
        <v>3.0</v>
      </c>
      <c r="H2" s="3">
        <v>4.0</v>
      </c>
      <c r="I2" s="1">
        <v>5.0</v>
      </c>
      <c r="J2" s="4">
        <f t="shared" ref="J2:O2" si="2">IF(D2&lt;=2,1,IF(D2=3,0.25,0))</f>
        <v>0</v>
      </c>
      <c r="K2" s="4">
        <f t="shared" si="2"/>
        <v>0</v>
      </c>
      <c r="L2" s="4">
        <f t="shared" si="2"/>
        <v>0</v>
      </c>
      <c r="M2" s="4">
        <f t="shared" si="2"/>
        <v>0.25</v>
      </c>
      <c r="N2" s="4">
        <f t="shared" si="2"/>
        <v>0</v>
      </c>
      <c r="O2" s="4">
        <f t="shared" si="2"/>
        <v>0</v>
      </c>
      <c r="P2" s="4">
        <f t="shared" si="3"/>
        <v>0.25</v>
      </c>
      <c r="Q2" s="4">
        <f t="shared" si="4"/>
        <v>0</v>
      </c>
      <c r="R2" s="5"/>
      <c r="S2" s="5"/>
      <c r="T2" s="5"/>
      <c r="U2" s="5"/>
      <c r="V2" s="5"/>
      <c r="W2" s="5"/>
      <c r="X2" s="5"/>
      <c r="Y2" s="5"/>
      <c r="Z2" s="5"/>
    </row>
    <row r="3">
      <c r="A3" s="1" t="s">
        <v>4</v>
      </c>
      <c r="B3" s="1" t="s">
        <v>1</v>
      </c>
      <c r="C3" s="1" t="s">
        <v>5</v>
      </c>
      <c r="D3" s="1">
        <v>6.0</v>
      </c>
      <c r="E3" s="1">
        <v>5.0</v>
      </c>
      <c r="F3" s="1">
        <v>3.0</v>
      </c>
      <c r="G3" s="2">
        <v>3.0</v>
      </c>
      <c r="H3" s="3">
        <v>4.0</v>
      </c>
      <c r="I3" s="1">
        <v>3.0</v>
      </c>
      <c r="J3" s="4">
        <f t="shared" ref="J3:O3" si="5">IF(D3&lt;=2,1,IF(D3=3,0.25,0))</f>
        <v>0</v>
      </c>
      <c r="K3" s="4">
        <f t="shared" si="5"/>
        <v>0</v>
      </c>
      <c r="L3" s="4">
        <f t="shared" si="5"/>
        <v>0.25</v>
      </c>
      <c r="M3" s="4">
        <f t="shared" si="5"/>
        <v>0.25</v>
      </c>
      <c r="N3" s="4">
        <f t="shared" si="5"/>
        <v>0</v>
      </c>
      <c r="O3" s="4">
        <f t="shared" si="5"/>
        <v>0.25</v>
      </c>
      <c r="P3" s="4">
        <f t="shared" si="3"/>
        <v>0.5</v>
      </c>
      <c r="Q3" s="4">
        <f t="shared" si="4"/>
        <v>0.25</v>
      </c>
      <c r="R3" s="5"/>
      <c r="S3" s="5"/>
      <c r="T3" s="5"/>
      <c r="U3" s="5"/>
      <c r="V3" s="5"/>
      <c r="W3" s="5"/>
      <c r="X3" s="5"/>
      <c r="Y3" s="5"/>
      <c r="Z3" s="5"/>
    </row>
    <row r="4">
      <c r="A4" s="1" t="s">
        <v>6</v>
      </c>
      <c r="B4" s="1" t="s">
        <v>7</v>
      </c>
      <c r="C4" s="1" t="s">
        <v>8</v>
      </c>
      <c r="D4" s="1">
        <v>7.0</v>
      </c>
      <c r="E4" s="1">
        <v>4.0</v>
      </c>
      <c r="F4" s="1">
        <v>4.0</v>
      </c>
      <c r="G4" s="2">
        <v>5.0</v>
      </c>
      <c r="H4" s="3">
        <v>6.0</v>
      </c>
      <c r="I4" s="1">
        <v>5.0</v>
      </c>
      <c r="J4" s="4">
        <f t="shared" ref="J4:O4" si="6">IF(D4&lt;=2,1,IF(D4=3,0.25,0))</f>
        <v>0</v>
      </c>
      <c r="K4" s="4">
        <f t="shared" si="6"/>
        <v>0</v>
      </c>
      <c r="L4" s="4">
        <f t="shared" si="6"/>
        <v>0</v>
      </c>
      <c r="M4" s="4">
        <f t="shared" si="6"/>
        <v>0</v>
      </c>
      <c r="N4" s="4">
        <f t="shared" si="6"/>
        <v>0</v>
      </c>
      <c r="O4" s="4">
        <f t="shared" si="6"/>
        <v>0</v>
      </c>
      <c r="P4" s="4">
        <f t="shared" si="3"/>
        <v>0</v>
      </c>
      <c r="Q4" s="4">
        <f t="shared" si="4"/>
        <v>0</v>
      </c>
      <c r="R4" s="5"/>
      <c r="S4" s="5"/>
      <c r="T4" s="5"/>
      <c r="U4" s="5"/>
      <c r="V4" s="5"/>
      <c r="W4" s="5"/>
      <c r="X4" s="5"/>
      <c r="Y4" s="5"/>
      <c r="Z4" s="5"/>
    </row>
    <row r="5">
      <c r="A5" s="1" t="s">
        <v>9</v>
      </c>
      <c r="B5" s="1" t="s">
        <v>10</v>
      </c>
      <c r="C5" s="1" t="s">
        <v>11</v>
      </c>
      <c r="D5" s="1">
        <v>5.0</v>
      </c>
      <c r="E5" s="1">
        <v>5.0</v>
      </c>
      <c r="F5" s="1">
        <v>5.0</v>
      </c>
      <c r="G5" s="2">
        <v>3.0</v>
      </c>
      <c r="H5" s="3">
        <v>7.0</v>
      </c>
      <c r="I5" s="1">
        <v>5.0</v>
      </c>
      <c r="J5" s="4">
        <f t="shared" ref="J5:O5" si="7">IF(D5&lt;=2,1,IF(D5=3,0.25,0))</f>
        <v>0</v>
      </c>
      <c r="K5" s="4">
        <f t="shared" si="7"/>
        <v>0</v>
      </c>
      <c r="L5" s="4">
        <f t="shared" si="7"/>
        <v>0</v>
      </c>
      <c r="M5" s="4">
        <f t="shared" si="7"/>
        <v>0.25</v>
      </c>
      <c r="N5" s="4">
        <f t="shared" si="7"/>
        <v>0</v>
      </c>
      <c r="O5" s="4">
        <f t="shared" si="7"/>
        <v>0</v>
      </c>
      <c r="P5" s="4">
        <f t="shared" si="3"/>
        <v>0.25</v>
      </c>
      <c r="Q5" s="4">
        <f t="shared" si="4"/>
        <v>0</v>
      </c>
      <c r="R5" s="5"/>
      <c r="S5" s="5"/>
      <c r="T5" s="5"/>
      <c r="U5" s="5"/>
      <c r="V5" s="5"/>
      <c r="W5" s="5"/>
      <c r="X5" s="5"/>
      <c r="Y5" s="5"/>
      <c r="Z5" s="5"/>
    </row>
    <row r="6">
      <c r="A6" s="1" t="s">
        <v>12</v>
      </c>
      <c r="B6" s="1" t="s">
        <v>13</v>
      </c>
      <c r="C6" s="1" t="s">
        <v>14</v>
      </c>
      <c r="D6" s="1">
        <v>5.0</v>
      </c>
      <c r="E6" s="1">
        <v>6.0</v>
      </c>
      <c r="F6" s="1">
        <v>5.0</v>
      </c>
      <c r="G6" s="2">
        <v>4.0</v>
      </c>
      <c r="H6" s="3">
        <v>4.0</v>
      </c>
      <c r="I6" s="1">
        <v>6.0</v>
      </c>
      <c r="J6" s="4">
        <f t="shared" ref="J6:O6" si="8">IF(D6&lt;=2,1,IF(D6=3,0.25,0))</f>
        <v>0</v>
      </c>
      <c r="K6" s="4">
        <f t="shared" si="8"/>
        <v>0</v>
      </c>
      <c r="L6" s="4">
        <f t="shared" si="8"/>
        <v>0</v>
      </c>
      <c r="M6" s="4">
        <f t="shared" si="8"/>
        <v>0</v>
      </c>
      <c r="N6" s="4">
        <f t="shared" si="8"/>
        <v>0</v>
      </c>
      <c r="O6" s="4">
        <f t="shared" si="8"/>
        <v>0</v>
      </c>
      <c r="P6" s="4">
        <f t="shared" si="3"/>
        <v>0</v>
      </c>
      <c r="Q6" s="4">
        <f t="shared" si="4"/>
        <v>0</v>
      </c>
      <c r="R6" s="5"/>
      <c r="S6" s="5"/>
      <c r="T6" s="5"/>
      <c r="U6" s="5"/>
      <c r="V6" s="5"/>
      <c r="W6" s="5"/>
      <c r="X6" s="5"/>
      <c r="Y6" s="5"/>
      <c r="Z6" s="5"/>
    </row>
    <row r="7">
      <c r="A7" s="1" t="s">
        <v>15</v>
      </c>
      <c r="B7" s="1" t="s">
        <v>16</v>
      </c>
      <c r="C7" s="1" t="s">
        <v>14</v>
      </c>
      <c r="D7" s="1">
        <v>5.0</v>
      </c>
      <c r="E7" s="1">
        <v>7.0</v>
      </c>
      <c r="F7" s="1">
        <v>3.0</v>
      </c>
      <c r="G7" s="2">
        <v>2.0</v>
      </c>
      <c r="H7" s="3">
        <v>2.0</v>
      </c>
      <c r="I7" s="1">
        <v>3.0</v>
      </c>
      <c r="J7" s="4">
        <f t="shared" ref="J7:O7" si="9">IF(D7&lt;=2,1,IF(D7=3,0.25,0))</f>
        <v>0</v>
      </c>
      <c r="K7" s="4">
        <f t="shared" si="9"/>
        <v>0</v>
      </c>
      <c r="L7" s="4">
        <f t="shared" si="9"/>
        <v>0.25</v>
      </c>
      <c r="M7" s="4">
        <f t="shared" si="9"/>
        <v>1</v>
      </c>
      <c r="N7" s="4">
        <f t="shared" si="9"/>
        <v>1</v>
      </c>
      <c r="O7" s="4">
        <f t="shared" si="9"/>
        <v>0.25</v>
      </c>
      <c r="P7" s="4">
        <f t="shared" si="3"/>
        <v>1.25</v>
      </c>
      <c r="Q7" s="4">
        <f t="shared" si="4"/>
        <v>1.25</v>
      </c>
      <c r="R7" s="5"/>
      <c r="S7" s="5"/>
      <c r="T7" s="5"/>
      <c r="U7" s="5"/>
      <c r="V7" s="5"/>
      <c r="W7" s="5"/>
      <c r="X7" s="5"/>
      <c r="Y7" s="5"/>
      <c r="Z7" s="5"/>
    </row>
    <row r="8">
      <c r="A8" s="1" t="s">
        <v>17</v>
      </c>
      <c r="B8" s="1" t="s">
        <v>13</v>
      </c>
      <c r="C8" s="1" t="s">
        <v>14</v>
      </c>
      <c r="D8" s="1">
        <v>6.0</v>
      </c>
      <c r="E8" s="1">
        <v>7.0</v>
      </c>
      <c r="F8" s="1">
        <v>3.0</v>
      </c>
      <c r="G8" s="2">
        <v>4.0</v>
      </c>
      <c r="H8" s="3">
        <v>3.0</v>
      </c>
      <c r="I8" s="1">
        <v>4.0</v>
      </c>
      <c r="J8" s="4">
        <f t="shared" ref="J8:O8" si="10">IF(D8&lt;=2,1,IF(D8=3,0.25,0))</f>
        <v>0</v>
      </c>
      <c r="K8" s="4">
        <f t="shared" si="10"/>
        <v>0</v>
      </c>
      <c r="L8" s="4">
        <f t="shared" si="10"/>
        <v>0.25</v>
      </c>
      <c r="M8" s="4">
        <f t="shared" si="10"/>
        <v>0</v>
      </c>
      <c r="N8" s="4">
        <f t="shared" si="10"/>
        <v>0.25</v>
      </c>
      <c r="O8" s="4">
        <f t="shared" si="10"/>
        <v>0</v>
      </c>
      <c r="P8" s="4">
        <f t="shared" si="3"/>
        <v>0.25</v>
      </c>
      <c r="Q8" s="4">
        <f t="shared" si="4"/>
        <v>0.25</v>
      </c>
      <c r="R8" s="5"/>
      <c r="S8" s="5"/>
      <c r="T8" s="5"/>
      <c r="U8" s="5"/>
      <c r="V8" s="5"/>
      <c r="W8" s="5"/>
      <c r="X8" s="5"/>
      <c r="Y8" s="5"/>
      <c r="Z8" s="5"/>
    </row>
    <row r="9">
      <c r="A9" s="1" t="s">
        <v>18</v>
      </c>
      <c r="B9" s="1" t="s">
        <v>19</v>
      </c>
      <c r="C9" s="1" t="s">
        <v>20</v>
      </c>
      <c r="D9" s="1">
        <v>4.0</v>
      </c>
      <c r="E9" s="1">
        <v>5.0</v>
      </c>
      <c r="F9" s="1">
        <v>4.0</v>
      </c>
      <c r="G9" s="2">
        <v>3.0</v>
      </c>
      <c r="H9" s="3">
        <v>6.0</v>
      </c>
      <c r="I9" s="1">
        <v>4.0</v>
      </c>
      <c r="J9" s="4">
        <f t="shared" ref="J9:O9" si="11">IF(D9&lt;=2,1,IF(D9=3,0.25,0))</f>
        <v>0</v>
      </c>
      <c r="K9" s="4">
        <f t="shared" si="11"/>
        <v>0</v>
      </c>
      <c r="L9" s="4">
        <f t="shared" si="11"/>
        <v>0</v>
      </c>
      <c r="M9" s="4">
        <f t="shared" si="11"/>
        <v>0.25</v>
      </c>
      <c r="N9" s="4">
        <f t="shared" si="11"/>
        <v>0</v>
      </c>
      <c r="O9" s="4">
        <f t="shared" si="11"/>
        <v>0</v>
      </c>
      <c r="P9" s="4">
        <f t="shared" si="3"/>
        <v>0.25</v>
      </c>
      <c r="Q9" s="4">
        <f t="shared" si="4"/>
        <v>0</v>
      </c>
      <c r="R9" s="5"/>
      <c r="S9" s="5"/>
      <c r="T9" s="5"/>
      <c r="U9" s="5"/>
      <c r="V9" s="5"/>
      <c r="W9" s="5"/>
      <c r="X9" s="5"/>
      <c r="Y9" s="5"/>
      <c r="Z9" s="5"/>
    </row>
    <row r="10">
      <c r="A10" s="1" t="s">
        <v>21</v>
      </c>
      <c r="B10" s="1" t="s">
        <v>19</v>
      </c>
      <c r="C10" s="1" t="s">
        <v>20</v>
      </c>
      <c r="D10" s="1">
        <v>6.0</v>
      </c>
      <c r="E10" s="1">
        <v>6.0</v>
      </c>
      <c r="F10" s="1">
        <v>6.0</v>
      </c>
      <c r="G10" s="2">
        <v>3.0</v>
      </c>
      <c r="H10" s="3">
        <v>4.0</v>
      </c>
      <c r="I10" s="1">
        <v>4.0</v>
      </c>
      <c r="J10" s="4">
        <f t="shared" ref="J10:O10" si="12">IF(D10&lt;=2,1,IF(D10=3,0.25,0))</f>
        <v>0</v>
      </c>
      <c r="K10" s="4">
        <f t="shared" si="12"/>
        <v>0</v>
      </c>
      <c r="L10" s="4">
        <f t="shared" si="12"/>
        <v>0</v>
      </c>
      <c r="M10" s="4">
        <f t="shared" si="12"/>
        <v>0.25</v>
      </c>
      <c r="N10" s="4">
        <f t="shared" si="12"/>
        <v>0</v>
      </c>
      <c r="O10" s="4">
        <f t="shared" si="12"/>
        <v>0</v>
      </c>
      <c r="P10" s="4">
        <f t="shared" si="3"/>
        <v>0.25</v>
      </c>
      <c r="Q10" s="4">
        <f t="shared" si="4"/>
        <v>0</v>
      </c>
      <c r="R10" s="5"/>
      <c r="S10" s="5"/>
      <c r="T10" s="5"/>
      <c r="U10" s="5"/>
      <c r="V10" s="5"/>
      <c r="W10" s="5"/>
      <c r="X10" s="5"/>
      <c r="Y10" s="5"/>
      <c r="Z10" s="5"/>
    </row>
    <row r="11">
      <c r="A11" s="1" t="s">
        <v>22</v>
      </c>
      <c r="B11" s="1" t="s">
        <v>19</v>
      </c>
      <c r="C11" s="1" t="s">
        <v>23</v>
      </c>
      <c r="D11" s="1">
        <v>4.0</v>
      </c>
      <c r="E11" s="1">
        <v>7.0</v>
      </c>
      <c r="F11" s="1">
        <v>3.0</v>
      </c>
      <c r="G11" s="2">
        <v>5.0</v>
      </c>
      <c r="H11" s="3">
        <v>5.0</v>
      </c>
      <c r="I11" s="1">
        <v>3.0</v>
      </c>
      <c r="J11" s="4">
        <f t="shared" ref="J11:O11" si="13">IF(D11&lt;=2,1,IF(D11=3,0.25,0))</f>
        <v>0</v>
      </c>
      <c r="K11" s="4">
        <f t="shared" si="13"/>
        <v>0</v>
      </c>
      <c r="L11" s="4">
        <f t="shared" si="13"/>
        <v>0.25</v>
      </c>
      <c r="M11" s="4">
        <f t="shared" si="13"/>
        <v>0</v>
      </c>
      <c r="N11" s="4">
        <f t="shared" si="13"/>
        <v>0</v>
      </c>
      <c r="O11" s="4">
        <f t="shared" si="13"/>
        <v>0.25</v>
      </c>
      <c r="P11" s="4">
        <f t="shared" si="3"/>
        <v>0.25</v>
      </c>
      <c r="Q11" s="4">
        <f t="shared" si="4"/>
        <v>0.25</v>
      </c>
      <c r="R11" s="5"/>
      <c r="S11" s="5"/>
      <c r="T11" s="5"/>
      <c r="U11" s="5"/>
      <c r="V11" s="5"/>
      <c r="W11" s="5"/>
      <c r="X11" s="5"/>
      <c r="Y11" s="5"/>
      <c r="Z11" s="5"/>
    </row>
    <row r="12">
      <c r="A12" s="1" t="s">
        <v>24</v>
      </c>
      <c r="B12" s="1" t="s">
        <v>25</v>
      </c>
      <c r="C12" s="1" t="s">
        <v>26</v>
      </c>
      <c r="D12" s="1">
        <v>4.0</v>
      </c>
      <c r="E12" s="1">
        <v>4.0</v>
      </c>
      <c r="F12" s="1">
        <v>5.0</v>
      </c>
      <c r="G12" s="2">
        <v>2.0</v>
      </c>
      <c r="H12" s="3">
        <v>5.0</v>
      </c>
      <c r="I12" s="1">
        <v>4.0</v>
      </c>
      <c r="J12" s="4">
        <f t="shared" ref="J12:O12" si="14">IF(D12&lt;=2,1,IF(D12=3,0.25,0))</f>
        <v>0</v>
      </c>
      <c r="K12" s="4">
        <f t="shared" si="14"/>
        <v>0</v>
      </c>
      <c r="L12" s="4">
        <f t="shared" si="14"/>
        <v>0</v>
      </c>
      <c r="M12" s="4">
        <f t="shared" si="14"/>
        <v>1</v>
      </c>
      <c r="N12" s="4">
        <f t="shared" si="14"/>
        <v>0</v>
      </c>
      <c r="O12" s="4">
        <f t="shared" si="14"/>
        <v>0</v>
      </c>
      <c r="P12" s="4">
        <f t="shared" si="3"/>
        <v>1</v>
      </c>
      <c r="Q12" s="4">
        <f t="shared" si="4"/>
        <v>0</v>
      </c>
      <c r="R12" s="5"/>
      <c r="S12" s="5"/>
      <c r="T12" s="5"/>
      <c r="U12" s="5"/>
      <c r="V12" s="5"/>
      <c r="W12" s="5"/>
      <c r="X12" s="5"/>
      <c r="Y12" s="5"/>
      <c r="Z12" s="5"/>
    </row>
    <row r="13">
      <c r="A13" s="1" t="s">
        <v>27</v>
      </c>
      <c r="B13" s="1" t="s">
        <v>28</v>
      </c>
      <c r="C13" s="1" t="s">
        <v>29</v>
      </c>
      <c r="D13" s="1">
        <v>7.0</v>
      </c>
      <c r="E13" s="1">
        <v>5.0</v>
      </c>
      <c r="F13" s="1">
        <v>4.0</v>
      </c>
      <c r="G13" s="2">
        <v>4.0</v>
      </c>
      <c r="H13" s="3">
        <v>4.0</v>
      </c>
      <c r="I13" s="1">
        <v>5.0</v>
      </c>
      <c r="J13" s="4">
        <f t="shared" ref="J13:O13" si="15">IF(D13&lt;=2,1,IF(D13=3,0.25,0))</f>
        <v>0</v>
      </c>
      <c r="K13" s="4">
        <f t="shared" si="15"/>
        <v>0</v>
      </c>
      <c r="L13" s="4">
        <f t="shared" si="15"/>
        <v>0</v>
      </c>
      <c r="M13" s="4">
        <f t="shared" si="15"/>
        <v>0</v>
      </c>
      <c r="N13" s="4">
        <f t="shared" si="15"/>
        <v>0</v>
      </c>
      <c r="O13" s="4">
        <f t="shared" si="15"/>
        <v>0</v>
      </c>
      <c r="P13" s="4">
        <f t="shared" si="3"/>
        <v>0</v>
      </c>
      <c r="Q13" s="4">
        <f t="shared" si="4"/>
        <v>0</v>
      </c>
      <c r="R13" s="5"/>
      <c r="S13" s="5"/>
      <c r="T13" s="5"/>
      <c r="U13" s="5"/>
      <c r="V13" s="5"/>
      <c r="W13" s="5"/>
      <c r="X13" s="5"/>
      <c r="Y13" s="5"/>
      <c r="Z13" s="5"/>
    </row>
    <row r="14">
      <c r="A14" s="1" t="s">
        <v>30</v>
      </c>
      <c r="B14" s="1" t="s">
        <v>31</v>
      </c>
      <c r="C14" s="1" t="s">
        <v>32</v>
      </c>
      <c r="D14" s="1">
        <v>6.0</v>
      </c>
      <c r="E14" s="1">
        <v>6.0</v>
      </c>
      <c r="F14" s="1">
        <v>3.0</v>
      </c>
      <c r="G14" s="2">
        <v>4.0</v>
      </c>
      <c r="H14" s="3">
        <v>5.0</v>
      </c>
      <c r="I14" s="1">
        <v>4.0</v>
      </c>
      <c r="J14" s="4">
        <f t="shared" ref="J14:O14" si="16">IF(D14&lt;=2,1,IF(D14=3,0.25,0))</f>
        <v>0</v>
      </c>
      <c r="K14" s="4">
        <f t="shared" si="16"/>
        <v>0</v>
      </c>
      <c r="L14" s="4">
        <f t="shared" si="16"/>
        <v>0.25</v>
      </c>
      <c r="M14" s="4">
        <f t="shared" si="16"/>
        <v>0</v>
      </c>
      <c r="N14" s="4">
        <f t="shared" si="16"/>
        <v>0</v>
      </c>
      <c r="O14" s="4">
        <f t="shared" si="16"/>
        <v>0</v>
      </c>
      <c r="P14" s="4">
        <f t="shared" si="3"/>
        <v>0.25</v>
      </c>
      <c r="Q14" s="4">
        <f t="shared" si="4"/>
        <v>0</v>
      </c>
      <c r="R14" s="5"/>
      <c r="S14" s="6" t="s">
        <v>33</v>
      </c>
      <c r="T14" s="5"/>
      <c r="U14" s="5"/>
      <c r="V14" s="5"/>
      <c r="W14" s="5"/>
      <c r="X14" s="5"/>
      <c r="Y14" s="5"/>
      <c r="Z14" s="5"/>
    </row>
    <row r="15">
      <c r="A15" s="1" t="s">
        <v>34</v>
      </c>
      <c r="B15" s="1" t="s">
        <v>31</v>
      </c>
      <c r="C15" s="1" t="s">
        <v>32</v>
      </c>
      <c r="D15" s="1">
        <v>5.0</v>
      </c>
      <c r="E15" s="1">
        <v>6.0</v>
      </c>
      <c r="F15" s="1">
        <v>4.0</v>
      </c>
      <c r="G15" s="2">
        <v>4.0</v>
      </c>
      <c r="H15" s="3">
        <v>3.0</v>
      </c>
      <c r="I15" s="1">
        <v>4.0</v>
      </c>
      <c r="J15" s="4">
        <f t="shared" ref="J15:O15" si="17">IF(D15&lt;=2,1,IF(D15=3,0.25,0))</f>
        <v>0</v>
      </c>
      <c r="K15" s="4">
        <f t="shared" si="17"/>
        <v>0</v>
      </c>
      <c r="L15" s="4">
        <f t="shared" si="17"/>
        <v>0</v>
      </c>
      <c r="M15" s="4">
        <f t="shared" si="17"/>
        <v>0</v>
      </c>
      <c r="N15" s="4">
        <f t="shared" si="17"/>
        <v>0.25</v>
      </c>
      <c r="O15" s="4">
        <f t="shared" si="17"/>
        <v>0</v>
      </c>
      <c r="P15" s="4">
        <f t="shared" si="3"/>
        <v>0</v>
      </c>
      <c r="Q15" s="4">
        <f t="shared" si="4"/>
        <v>0.25</v>
      </c>
      <c r="R15" s="5"/>
      <c r="S15" s="5"/>
      <c r="T15" s="5"/>
      <c r="U15" s="5"/>
      <c r="V15" s="5"/>
      <c r="W15" s="5"/>
      <c r="X15" s="5"/>
      <c r="Y15" s="5"/>
      <c r="Z15" s="5"/>
    </row>
    <row r="16">
      <c r="A16" s="1" t="s">
        <v>35</v>
      </c>
      <c r="B16" s="1" t="s">
        <v>36</v>
      </c>
      <c r="C16" s="1" t="s">
        <v>14</v>
      </c>
      <c r="D16" s="1">
        <v>7.0</v>
      </c>
      <c r="E16" s="1">
        <v>8.0</v>
      </c>
      <c r="F16" s="1">
        <v>2.0</v>
      </c>
      <c r="G16" s="2">
        <v>4.0</v>
      </c>
      <c r="H16" s="3">
        <v>4.0</v>
      </c>
      <c r="I16" s="1">
        <v>5.0</v>
      </c>
      <c r="J16" s="4">
        <f t="shared" ref="J16:O16" si="18">IF(D16&lt;=2,1,IF(D16=3,0.25,0))</f>
        <v>0</v>
      </c>
      <c r="K16" s="4">
        <f t="shared" si="18"/>
        <v>0</v>
      </c>
      <c r="L16" s="4">
        <f t="shared" si="18"/>
        <v>1</v>
      </c>
      <c r="M16" s="4">
        <f t="shared" si="18"/>
        <v>0</v>
      </c>
      <c r="N16" s="4">
        <f t="shared" si="18"/>
        <v>0</v>
      </c>
      <c r="O16" s="4">
        <f t="shared" si="18"/>
        <v>0</v>
      </c>
      <c r="P16" s="4">
        <f t="shared" si="3"/>
        <v>1</v>
      </c>
      <c r="Q16" s="4">
        <f t="shared" si="4"/>
        <v>0</v>
      </c>
      <c r="R16" s="5"/>
      <c r="S16" s="5"/>
      <c r="T16" s="5"/>
      <c r="U16" s="5"/>
      <c r="V16" s="5"/>
      <c r="W16" s="5"/>
      <c r="X16" s="5"/>
      <c r="Y16" s="5"/>
      <c r="Z16" s="5"/>
    </row>
    <row r="17">
      <c r="A17" s="1" t="s">
        <v>37</v>
      </c>
      <c r="B17" s="1" t="s">
        <v>38</v>
      </c>
      <c r="C17" s="1" t="s">
        <v>26</v>
      </c>
      <c r="D17" s="1">
        <v>4.0</v>
      </c>
      <c r="E17" s="1">
        <v>4.0</v>
      </c>
      <c r="F17" s="1">
        <v>3.0</v>
      </c>
      <c r="G17" s="2">
        <v>3.0</v>
      </c>
      <c r="H17" s="3">
        <v>4.0</v>
      </c>
      <c r="I17" s="1">
        <v>4.0</v>
      </c>
      <c r="J17" s="4">
        <f t="shared" ref="J17:O17" si="19">IF(D17&lt;=2,1,IF(D17=3,0.25,0))</f>
        <v>0</v>
      </c>
      <c r="K17" s="4">
        <f t="shared" si="19"/>
        <v>0</v>
      </c>
      <c r="L17" s="4">
        <f t="shared" si="19"/>
        <v>0.25</v>
      </c>
      <c r="M17" s="4">
        <f t="shared" si="19"/>
        <v>0.25</v>
      </c>
      <c r="N17" s="4">
        <f t="shared" si="19"/>
        <v>0</v>
      </c>
      <c r="O17" s="4">
        <f t="shared" si="19"/>
        <v>0</v>
      </c>
      <c r="P17" s="4">
        <f t="shared" si="3"/>
        <v>0.5</v>
      </c>
      <c r="Q17" s="4">
        <f t="shared" si="4"/>
        <v>0</v>
      </c>
      <c r="R17" s="5"/>
      <c r="S17" s="5"/>
      <c r="T17" s="5"/>
      <c r="U17" s="5"/>
      <c r="V17" s="5"/>
      <c r="W17" s="5"/>
      <c r="X17" s="5"/>
      <c r="Y17" s="5"/>
      <c r="Z17" s="5"/>
    </row>
    <row r="18">
      <c r="A18" s="1" t="s">
        <v>39</v>
      </c>
      <c r="B18" s="1" t="s">
        <v>40</v>
      </c>
      <c r="C18" s="1" t="s">
        <v>41</v>
      </c>
      <c r="D18" s="1">
        <v>6.0</v>
      </c>
      <c r="E18" s="1">
        <v>6.0</v>
      </c>
      <c r="F18" s="1">
        <v>4.0</v>
      </c>
      <c r="G18" s="2">
        <v>4.0</v>
      </c>
      <c r="H18" s="3">
        <v>3.0</v>
      </c>
      <c r="I18" s="1">
        <v>3.0</v>
      </c>
      <c r="J18" s="4">
        <f t="shared" ref="J18:O18" si="20">IF(D18&lt;=2,1,IF(D18=3,0.25,0))</f>
        <v>0</v>
      </c>
      <c r="K18" s="4">
        <f t="shared" si="20"/>
        <v>0</v>
      </c>
      <c r="L18" s="4">
        <f t="shared" si="20"/>
        <v>0</v>
      </c>
      <c r="M18" s="4">
        <f t="shared" si="20"/>
        <v>0</v>
      </c>
      <c r="N18" s="4">
        <f t="shared" si="20"/>
        <v>0.25</v>
      </c>
      <c r="O18" s="4">
        <f t="shared" si="20"/>
        <v>0.25</v>
      </c>
      <c r="P18" s="4">
        <f t="shared" si="3"/>
        <v>0</v>
      </c>
      <c r="Q18" s="4">
        <f t="shared" si="4"/>
        <v>0.5</v>
      </c>
      <c r="R18" s="5"/>
      <c r="S18" s="5"/>
      <c r="T18" s="5"/>
      <c r="U18" s="5"/>
      <c r="V18" s="5"/>
      <c r="W18" s="5"/>
      <c r="X18" s="5"/>
      <c r="Y18" s="5"/>
      <c r="Z18" s="5"/>
    </row>
    <row r="19">
      <c r="A19" s="1" t="s">
        <v>42</v>
      </c>
      <c r="B19" s="1" t="s">
        <v>13</v>
      </c>
      <c r="C19" s="1" t="s">
        <v>43</v>
      </c>
      <c r="D19" s="1">
        <v>5.0</v>
      </c>
      <c r="E19" s="1">
        <v>5.0</v>
      </c>
      <c r="F19" s="1">
        <v>4.0</v>
      </c>
      <c r="G19" s="2">
        <v>3.0</v>
      </c>
      <c r="H19" s="3">
        <v>5.0</v>
      </c>
      <c r="I19" s="1">
        <v>3.0</v>
      </c>
      <c r="J19" s="4">
        <f t="shared" ref="J19:O19" si="21">IF(D19&lt;=2,1,IF(D19=3,0.25,0))</f>
        <v>0</v>
      </c>
      <c r="K19" s="4">
        <f t="shared" si="21"/>
        <v>0</v>
      </c>
      <c r="L19" s="4">
        <f t="shared" si="21"/>
        <v>0</v>
      </c>
      <c r="M19" s="4">
        <f t="shared" si="21"/>
        <v>0.25</v>
      </c>
      <c r="N19" s="4">
        <f t="shared" si="21"/>
        <v>0</v>
      </c>
      <c r="O19" s="4">
        <f t="shared" si="21"/>
        <v>0.25</v>
      </c>
      <c r="P19" s="4">
        <f t="shared" si="3"/>
        <v>0.25</v>
      </c>
      <c r="Q19" s="4">
        <f t="shared" si="4"/>
        <v>0.25</v>
      </c>
      <c r="R19" s="5"/>
      <c r="S19" s="5"/>
      <c r="T19" s="5"/>
      <c r="U19" s="5"/>
      <c r="V19" s="5"/>
      <c r="W19" s="5"/>
      <c r="X19" s="5"/>
      <c r="Y19" s="5"/>
      <c r="Z19" s="5"/>
    </row>
    <row r="20">
      <c r="A20" s="1" t="s">
        <v>44</v>
      </c>
      <c r="B20" s="7" t="s">
        <v>45</v>
      </c>
      <c r="C20" s="1" t="s">
        <v>43</v>
      </c>
      <c r="D20" s="1">
        <v>6.0</v>
      </c>
      <c r="E20" s="1">
        <v>6.0</v>
      </c>
      <c r="F20" s="1">
        <v>3.0</v>
      </c>
      <c r="G20" s="2">
        <v>3.0</v>
      </c>
      <c r="H20" s="3">
        <v>4.0</v>
      </c>
      <c r="I20" s="1">
        <v>7.0</v>
      </c>
      <c r="J20" s="4">
        <f t="shared" ref="J20:O20" si="22">IF(D20&lt;=2,1,IF(D20=3,0.25,0))</f>
        <v>0</v>
      </c>
      <c r="K20" s="4">
        <f t="shared" si="22"/>
        <v>0</v>
      </c>
      <c r="L20" s="4">
        <f t="shared" si="22"/>
        <v>0.25</v>
      </c>
      <c r="M20" s="4">
        <f t="shared" si="22"/>
        <v>0.25</v>
      </c>
      <c r="N20" s="4">
        <f t="shared" si="22"/>
        <v>0</v>
      </c>
      <c r="O20" s="4">
        <f t="shared" si="22"/>
        <v>0</v>
      </c>
      <c r="P20" s="4">
        <f t="shared" si="3"/>
        <v>0.5</v>
      </c>
      <c r="Q20" s="4">
        <f t="shared" si="4"/>
        <v>0</v>
      </c>
      <c r="R20" s="5"/>
      <c r="S20" s="5"/>
      <c r="T20" s="5"/>
      <c r="U20" s="5"/>
      <c r="V20" s="5"/>
      <c r="W20" s="5"/>
      <c r="X20" s="5"/>
      <c r="Y20" s="5"/>
      <c r="Z20" s="5"/>
    </row>
    <row r="21">
      <c r="A21" s="1" t="s">
        <v>46</v>
      </c>
      <c r="B21" s="1" t="s">
        <v>47</v>
      </c>
      <c r="C21" s="1" t="s">
        <v>32</v>
      </c>
      <c r="D21" s="1">
        <v>8.0</v>
      </c>
      <c r="E21" s="1">
        <v>6.0</v>
      </c>
      <c r="F21" s="1">
        <v>5.0</v>
      </c>
      <c r="G21" s="2">
        <v>4.0</v>
      </c>
      <c r="H21" s="3">
        <v>5.0</v>
      </c>
      <c r="I21" s="1">
        <v>4.0</v>
      </c>
      <c r="J21" s="4">
        <f t="shared" ref="J21:O21" si="23">IF(D21&lt;=2,1,IF(D21=3,0.25,0))</f>
        <v>0</v>
      </c>
      <c r="K21" s="4">
        <f t="shared" si="23"/>
        <v>0</v>
      </c>
      <c r="L21" s="4">
        <f t="shared" si="23"/>
        <v>0</v>
      </c>
      <c r="M21" s="4">
        <f t="shared" si="23"/>
        <v>0</v>
      </c>
      <c r="N21" s="4">
        <f t="shared" si="23"/>
        <v>0</v>
      </c>
      <c r="O21" s="4">
        <f t="shared" si="23"/>
        <v>0</v>
      </c>
      <c r="P21" s="4">
        <f t="shared" si="3"/>
        <v>0</v>
      </c>
      <c r="Q21" s="4">
        <f t="shared" si="4"/>
        <v>0</v>
      </c>
      <c r="R21" s="5"/>
      <c r="S21" s="5"/>
      <c r="T21" s="5"/>
      <c r="U21" s="5"/>
      <c r="V21" s="5"/>
      <c r="W21" s="5"/>
      <c r="X21" s="5"/>
      <c r="Y21" s="5"/>
      <c r="Z21" s="5"/>
    </row>
    <row r="22">
      <c r="A22" s="1" t="s">
        <v>48</v>
      </c>
      <c r="B22" s="1" t="s">
        <v>49</v>
      </c>
      <c r="C22" s="1" t="s">
        <v>50</v>
      </c>
      <c r="D22" s="1">
        <v>5.0</v>
      </c>
      <c r="E22" s="1">
        <v>5.0</v>
      </c>
      <c r="F22" s="1">
        <v>5.0</v>
      </c>
      <c r="G22" s="2">
        <v>4.0</v>
      </c>
      <c r="H22" s="3">
        <v>5.0</v>
      </c>
      <c r="I22" s="1">
        <v>6.0</v>
      </c>
      <c r="J22" s="4">
        <f t="shared" ref="J22:O22" si="24">IF(D22&lt;=2,1,IF(D22=3,0.25,0))</f>
        <v>0</v>
      </c>
      <c r="K22" s="4">
        <f t="shared" si="24"/>
        <v>0</v>
      </c>
      <c r="L22" s="4">
        <f t="shared" si="24"/>
        <v>0</v>
      </c>
      <c r="M22" s="4">
        <f t="shared" si="24"/>
        <v>0</v>
      </c>
      <c r="N22" s="4">
        <f t="shared" si="24"/>
        <v>0</v>
      </c>
      <c r="O22" s="4">
        <f t="shared" si="24"/>
        <v>0</v>
      </c>
      <c r="P22" s="4">
        <f t="shared" si="3"/>
        <v>0</v>
      </c>
      <c r="Q22" s="4">
        <f t="shared" si="4"/>
        <v>0</v>
      </c>
      <c r="R22" s="5"/>
      <c r="S22" s="5"/>
      <c r="T22" s="5"/>
      <c r="U22" s="5"/>
      <c r="V22" s="5"/>
      <c r="W22" s="5"/>
      <c r="X22" s="5"/>
      <c r="Y22" s="5"/>
      <c r="Z22" s="5"/>
    </row>
    <row r="23">
      <c r="A23" s="1" t="s">
        <v>51</v>
      </c>
      <c r="B23" s="1" t="s">
        <v>52</v>
      </c>
      <c r="C23" s="1" t="s">
        <v>53</v>
      </c>
      <c r="D23" s="1">
        <v>4.0</v>
      </c>
      <c r="E23" s="1">
        <v>5.0</v>
      </c>
      <c r="F23" s="1">
        <v>2.0</v>
      </c>
      <c r="G23" s="2">
        <v>4.0</v>
      </c>
      <c r="H23" s="3">
        <v>3.0</v>
      </c>
      <c r="I23" s="1">
        <v>3.0</v>
      </c>
      <c r="J23" s="4">
        <f t="shared" ref="J23:O23" si="25">IF(D23&lt;=2,1,IF(D23=3,0.25,0))</f>
        <v>0</v>
      </c>
      <c r="K23" s="4">
        <f t="shared" si="25"/>
        <v>0</v>
      </c>
      <c r="L23" s="4">
        <f t="shared" si="25"/>
        <v>1</v>
      </c>
      <c r="M23" s="4">
        <f t="shared" si="25"/>
        <v>0</v>
      </c>
      <c r="N23" s="4">
        <f t="shared" si="25"/>
        <v>0.25</v>
      </c>
      <c r="O23" s="4">
        <f t="shared" si="25"/>
        <v>0.25</v>
      </c>
      <c r="P23" s="4">
        <f t="shared" si="3"/>
        <v>1</v>
      </c>
      <c r="Q23" s="4">
        <f t="shared" si="4"/>
        <v>0.5</v>
      </c>
      <c r="R23" s="5"/>
      <c r="S23" s="5"/>
      <c r="T23" s="5"/>
      <c r="U23" s="5"/>
      <c r="V23" s="5"/>
      <c r="W23" s="5"/>
      <c r="X23" s="5"/>
      <c r="Y23" s="5"/>
      <c r="Z23" s="5"/>
    </row>
    <row r="24">
      <c r="A24" s="1" t="s">
        <v>54</v>
      </c>
      <c r="B24" s="1" t="s">
        <v>55</v>
      </c>
      <c r="C24" s="1" t="s">
        <v>50</v>
      </c>
      <c r="D24" s="1">
        <v>4.0</v>
      </c>
      <c r="E24" s="1">
        <v>5.0</v>
      </c>
      <c r="F24" s="1">
        <v>3.0</v>
      </c>
      <c r="G24" s="2">
        <v>3.0</v>
      </c>
      <c r="H24" s="3">
        <v>6.0</v>
      </c>
      <c r="I24" s="1">
        <v>5.0</v>
      </c>
      <c r="J24" s="4">
        <f t="shared" ref="J24:O24" si="26">IF(D24&lt;=2,1,IF(D24=3,0.25,0))</f>
        <v>0</v>
      </c>
      <c r="K24" s="4">
        <f t="shared" si="26"/>
        <v>0</v>
      </c>
      <c r="L24" s="4">
        <f t="shared" si="26"/>
        <v>0.25</v>
      </c>
      <c r="M24" s="4">
        <f t="shared" si="26"/>
        <v>0.25</v>
      </c>
      <c r="N24" s="4">
        <f t="shared" si="26"/>
        <v>0</v>
      </c>
      <c r="O24" s="4">
        <f t="shared" si="26"/>
        <v>0</v>
      </c>
      <c r="P24" s="4">
        <f t="shared" si="3"/>
        <v>0.5</v>
      </c>
      <c r="Q24" s="4">
        <f t="shared" si="4"/>
        <v>0</v>
      </c>
      <c r="R24" s="5"/>
      <c r="S24" s="5"/>
      <c r="T24" s="5"/>
      <c r="U24" s="5"/>
      <c r="V24" s="5"/>
      <c r="W24" s="5"/>
      <c r="X24" s="5"/>
      <c r="Y24" s="5"/>
      <c r="Z24" s="5"/>
    </row>
    <row r="25">
      <c r="A25" s="1" t="s">
        <v>56</v>
      </c>
      <c r="B25" s="1" t="s">
        <v>57</v>
      </c>
      <c r="C25" s="1" t="s">
        <v>58</v>
      </c>
      <c r="D25" s="6">
        <v>9.0</v>
      </c>
      <c r="E25" s="6">
        <v>9.0</v>
      </c>
      <c r="F25" s="6">
        <v>9.0</v>
      </c>
      <c r="G25" s="6">
        <v>9.0</v>
      </c>
      <c r="H25" s="6">
        <v>9.0</v>
      </c>
      <c r="I25" s="6">
        <v>9.0</v>
      </c>
      <c r="J25" s="4">
        <f t="shared" ref="J25:O25" si="27">IF(D25&lt;=2,1,IF(D25=3,0.25,0))</f>
        <v>0</v>
      </c>
      <c r="K25" s="4">
        <f t="shared" si="27"/>
        <v>0</v>
      </c>
      <c r="L25" s="4">
        <f t="shared" si="27"/>
        <v>0</v>
      </c>
      <c r="M25" s="4">
        <f t="shared" si="27"/>
        <v>0</v>
      </c>
      <c r="N25" s="4">
        <f t="shared" si="27"/>
        <v>0</v>
      </c>
      <c r="O25" s="4">
        <f t="shared" si="27"/>
        <v>0</v>
      </c>
      <c r="P25" s="4">
        <f t="shared" si="3"/>
        <v>0</v>
      </c>
      <c r="Q25" s="4">
        <f t="shared" si="4"/>
        <v>0</v>
      </c>
      <c r="R25" s="5"/>
      <c r="S25" s="5"/>
      <c r="T25" s="5"/>
      <c r="U25" s="5"/>
      <c r="V25" s="5"/>
      <c r="W25" s="5"/>
      <c r="X25" s="5"/>
      <c r="Y25" s="5"/>
      <c r="Z25" s="5"/>
    </row>
    <row r="26">
      <c r="A26" s="1" t="s">
        <v>59</v>
      </c>
      <c r="B26" s="1" t="s">
        <v>60</v>
      </c>
      <c r="C26" s="1" t="s">
        <v>43</v>
      </c>
      <c r="D26" s="6">
        <v>9.0</v>
      </c>
      <c r="E26" s="6">
        <v>9.0</v>
      </c>
      <c r="F26" s="6">
        <v>9.0</v>
      </c>
      <c r="G26" s="6">
        <v>9.0</v>
      </c>
      <c r="H26" s="6">
        <v>9.0</v>
      </c>
      <c r="I26" s="6">
        <v>9.0</v>
      </c>
      <c r="J26" s="4">
        <f t="shared" ref="J26:O26" si="28">IF(D26&lt;=2,1,IF(D26=3,0.25,0))</f>
        <v>0</v>
      </c>
      <c r="K26" s="4">
        <f t="shared" si="28"/>
        <v>0</v>
      </c>
      <c r="L26" s="4">
        <f t="shared" si="28"/>
        <v>0</v>
      </c>
      <c r="M26" s="4">
        <f t="shared" si="28"/>
        <v>0</v>
      </c>
      <c r="N26" s="4">
        <f t="shared" si="28"/>
        <v>0</v>
      </c>
      <c r="O26" s="4">
        <f t="shared" si="28"/>
        <v>0</v>
      </c>
      <c r="P26" s="4">
        <f t="shared" si="3"/>
        <v>0</v>
      </c>
      <c r="Q26" s="4">
        <f t="shared" si="4"/>
        <v>0</v>
      </c>
      <c r="R26" s="5"/>
      <c r="S26" s="5"/>
      <c r="T26" s="5"/>
      <c r="U26" s="5"/>
      <c r="V26" s="5"/>
      <c r="W26" s="5"/>
      <c r="X26" s="5"/>
      <c r="Y26" s="5"/>
      <c r="Z26" s="5"/>
    </row>
    <row r="27">
      <c r="A27" s="7" t="s">
        <v>61</v>
      </c>
      <c r="B27" s="8" t="s">
        <v>62</v>
      </c>
      <c r="C27" s="1" t="s">
        <v>26</v>
      </c>
      <c r="D27" s="7">
        <v>6.0</v>
      </c>
      <c r="E27" s="7">
        <v>4.0</v>
      </c>
      <c r="F27" s="7">
        <v>6.0</v>
      </c>
      <c r="G27" s="7">
        <v>6.0</v>
      </c>
      <c r="H27" s="7">
        <v>2.0</v>
      </c>
      <c r="I27" s="7">
        <v>5.0</v>
      </c>
      <c r="J27" s="4">
        <f t="shared" ref="J27:O27" si="29">IF(D27&lt;=2,1,IF(D27=3,0.25,0))</f>
        <v>0</v>
      </c>
      <c r="K27" s="4">
        <f t="shared" si="29"/>
        <v>0</v>
      </c>
      <c r="L27" s="4">
        <f t="shared" si="29"/>
        <v>0</v>
      </c>
      <c r="M27" s="4">
        <f t="shared" si="29"/>
        <v>0</v>
      </c>
      <c r="N27" s="4">
        <f t="shared" si="29"/>
        <v>1</v>
      </c>
      <c r="O27" s="4">
        <f t="shared" si="29"/>
        <v>0</v>
      </c>
      <c r="P27" s="4">
        <f t="shared" si="3"/>
        <v>0</v>
      </c>
      <c r="Q27" s="4">
        <f t="shared" si="4"/>
        <v>1</v>
      </c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6"/>
      <c r="E28" s="6"/>
      <c r="F28" s="6"/>
      <c r="G28" s="6"/>
      <c r="H28" s="6"/>
      <c r="I28" s="6"/>
      <c r="J28" s="5"/>
      <c r="K28" s="5"/>
      <c r="L28" s="5"/>
      <c r="M28" s="5"/>
      <c r="N28" s="5"/>
      <c r="O28" s="9"/>
      <c r="P28" s="10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9"/>
      <c r="P29" s="10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9"/>
      <c r="P30" s="10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9"/>
      <c r="P31" s="10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9"/>
      <c r="P32" s="10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9"/>
      <c r="P33" s="10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9"/>
      <c r="P34" s="10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9"/>
      <c r="J293" s="10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9"/>
      <c r="J294" s="10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9"/>
      <c r="J295" s="10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9"/>
      <c r="J296" s="10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9"/>
      <c r="J297" s="10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9"/>
      <c r="J298" s="10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9"/>
      <c r="J299" s="10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9"/>
      <c r="J300" s="10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9"/>
      <c r="J301" s="10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9"/>
      <c r="J302" s="10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9"/>
      <c r="J303" s="10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9"/>
      <c r="J304" s="10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9"/>
      <c r="J305" s="10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9"/>
      <c r="J306" s="10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9"/>
      <c r="J307" s="10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9"/>
      <c r="J308" s="10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9"/>
      <c r="J309" s="10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9"/>
      <c r="J310" s="10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9"/>
      <c r="J311" s="10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9"/>
      <c r="J312" s="10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9"/>
      <c r="J313" s="10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9"/>
      <c r="J314" s="10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9"/>
      <c r="J315" s="10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9"/>
      <c r="J316" s="10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9"/>
      <c r="J317" s="10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9"/>
      <c r="J318" s="10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9"/>
      <c r="J319" s="10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9"/>
      <c r="J320" s="10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9"/>
      <c r="J321" s="10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9"/>
      <c r="J322" s="10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9"/>
      <c r="J323" s="10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9"/>
      <c r="J324" s="10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9"/>
      <c r="J325" s="10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9"/>
      <c r="J326" s="10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9"/>
      <c r="J327" s="10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9"/>
      <c r="J328" s="10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9"/>
      <c r="J329" s="10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9"/>
      <c r="J330" s="10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9"/>
      <c r="J331" s="10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9"/>
      <c r="J332" s="10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9"/>
      <c r="J333" s="10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9"/>
      <c r="J334" s="10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9"/>
      <c r="J335" s="10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9"/>
      <c r="J336" s="10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9"/>
      <c r="J337" s="10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9"/>
      <c r="J338" s="10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9"/>
      <c r="J339" s="10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9"/>
      <c r="J340" s="10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9"/>
      <c r="J341" s="10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9"/>
      <c r="J342" s="10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9"/>
      <c r="J343" s="10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9"/>
      <c r="J344" s="10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9"/>
      <c r="J345" s="10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9"/>
      <c r="J346" s="10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9"/>
      <c r="J347" s="10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9"/>
      <c r="J348" s="10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9"/>
      <c r="J349" s="10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9"/>
      <c r="J350" s="10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9"/>
      <c r="J351" s="10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9"/>
      <c r="J352" s="10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9"/>
      <c r="J353" s="10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9"/>
      <c r="J354" s="10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9"/>
      <c r="J355" s="10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9"/>
      <c r="J356" s="10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9"/>
      <c r="J357" s="10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9"/>
      <c r="J358" s="10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9"/>
      <c r="J359" s="10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9"/>
      <c r="J360" s="10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9"/>
      <c r="J361" s="10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9"/>
      <c r="J362" s="10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9"/>
      <c r="J363" s="10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9"/>
      <c r="J364" s="10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9"/>
      <c r="J365" s="10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9"/>
      <c r="J366" s="10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9"/>
      <c r="J367" s="10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9"/>
      <c r="J368" s="10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9"/>
      <c r="J369" s="10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9"/>
      <c r="J370" s="10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9"/>
      <c r="J371" s="10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9"/>
      <c r="J372" s="10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9"/>
      <c r="J373" s="10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9"/>
      <c r="J374" s="10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9"/>
      <c r="J375" s="10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9"/>
      <c r="J376" s="10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9"/>
      <c r="J377" s="10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9"/>
      <c r="J378" s="10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9"/>
      <c r="J379" s="10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9"/>
      <c r="J380" s="10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9"/>
      <c r="J381" s="10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9"/>
      <c r="J382" s="10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9"/>
      <c r="J383" s="10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9"/>
      <c r="J384" s="10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9"/>
      <c r="J385" s="10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9"/>
      <c r="J386" s="10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9"/>
      <c r="J387" s="10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9"/>
      <c r="J388" s="10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9"/>
      <c r="J389" s="10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9"/>
      <c r="J390" s="10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9"/>
      <c r="J391" s="10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9"/>
      <c r="J392" s="10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9"/>
      <c r="J393" s="10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9"/>
      <c r="J394" s="10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9"/>
      <c r="J395" s="10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9"/>
      <c r="J396" s="10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9"/>
      <c r="J397" s="10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9"/>
      <c r="J398" s="10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9"/>
      <c r="J399" s="10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9"/>
      <c r="J400" s="10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9"/>
      <c r="J401" s="10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9"/>
      <c r="J402" s="10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9"/>
      <c r="J403" s="10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9"/>
      <c r="J404" s="10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9"/>
      <c r="J405" s="10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9"/>
      <c r="J406" s="10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9"/>
      <c r="J407" s="10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9"/>
      <c r="J408" s="10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9"/>
      <c r="J409" s="10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9"/>
      <c r="J410" s="10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9"/>
      <c r="J411" s="10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9"/>
      <c r="J412" s="10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9"/>
      <c r="J413" s="10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9"/>
      <c r="J414" s="10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9"/>
      <c r="J415" s="10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9"/>
      <c r="J416" s="10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9"/>
      <c r="J417" s="10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9"/>
      <c r="J418" s="10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9"/>
      <c r="J419" s="10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9"/>
      <c r="J420" s="10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9"/>
      <c r="J421" s="10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9"/>
      <c r="J422" s="10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9"/>
      <c r="J423" s="10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9"/>
      <c r="J424" s="10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9"/>
      <c r="J425" s="10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9"/>
      <c r="J426" s="10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9"/>
      <c r="J427" s="10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9"/>
      <c r="J428" s="10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9"/>
      <c r="J429" s="10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9"/>
      <c r="J430" s="10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9"/>
      <c r="J431" s="10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9"/>
      <c r="J432" s="10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9"/>
      <c r="J433" s="10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9"/>
      <c r="J434" s="10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9"/>
      <c r="J435" s="10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9"/>
      <c r="J436" s="10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9"/>
      <c r="J437" s="10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9"/>
      <c r="J438" s="10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9"/>
      <c r="J439" s="10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9"/>
      <c r="J440" s="10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9"/>
      <c r="J441" s="10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9"/>
      <c r="J442" s="10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9"/>
      <c r="J443" s="10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9"/>
      <c r="J444" s="10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9"/>
      <c r="J445" s="10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9"/>
      <c r="J446" s="10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9"/>
      <c r="J447" s="10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9"/>
      <c r="J448" s="10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9"/>
      <c r="J449" s="10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9"/>
      <c r="J450" s="10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9"/>
      <c r="J451" s="10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9"/>
      <c r="J452" s="10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9"/>
      <c r="J453" s="10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9"/>
      <c r="J454" s="10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9"/>
      <c r="J455" s="10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9"/>
      <c r="J456" s="10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9"/>
      <c r="J457" s="10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9"/>
      <c r="J458" s="10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9"/>
      <c r="J459" s="10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9"/>
      <c r="J460" s="10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9"/>
      <c r="J461" s="10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9"/>
      <c r="J462" s="10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9"/>
      <c r="J463" s="10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9"/>
      <c r="J464" s="10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9"/>
      <c r="J465" s="10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9"/>
      <c r="J466" s="10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9"/>
      <c r="J467" s="10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9"/>
      <c r="J468" s="10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9"/>
      <c r="J469" s="10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9"/>
      <c r="J470" s="10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9"/>
      <c r="J471" s="10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9"/>
      <c r="J472" s="10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9"/>
      <c r="J473" s="10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9"/>
      <c r="J474" s="10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9"/>
      <c r="J475" s="10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9"/>
      <c r="J476" s="10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9"/>
      <c r="J477" s="10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9"/>
      <c r="J478" s="10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9"/>
      <c r="J479" s="10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9"/>
      <c r="J480" s="10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9"/>
      <c r="J481" s="10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9"/>
      <c r="J482" s="10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9"/>
      <c r="J483" s="10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9"/>
      <c r="J484" s="10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9"/>
      <c r="J485" s="10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9"/>
      <c r="J486" s="10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9"/>
      <c r="J487" s="10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9"/>
      <c r="J488" s="10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9"/>
      <c r="J489" s="10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9"/>
      <c r="J490" s="10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9"/>
      <c r="J491" s="10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9"/>
      <c r="J492" s="10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9"/>
      <c r="J493" s="10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9"/>
      <c r="J494" s="10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9"/>
      <c r="J495" s="10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9"/>
      <c r="J496" s="10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9"/>
      <c r="J497" s="10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9"/>
      <c r="J498" s="10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9"/>
      <c r="J499" s="10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9"/>
      <c r="J500" s="10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9"/>
      <c r="J501" s="10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9"/>
      <c r="J502" s="10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9"/>
      <c r="J503" s="10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9"/>
      <c r="J504" s="10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9"/>
      <c r="J505" s="10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9"/>
      <c r="J506" s="10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9"/>
      <c r="J507" s="10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9"/>
      <c r="J508" s="10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9"/>
      <c r="J509" s="10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9"/>
      <c r="J510" s="10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9"/>
      <c r="J511" s="10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9"/>
      <c r="J512" s="10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9"/>
      <c r="J513" s="10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9"/>
      <c r="J514" s="10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9"/>
      <c r="J515" s="10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9"/>
      <c r="J516" s="10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9"/>
      <c r="J517" s="10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9"/>
      <c r="J518" s="10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9"/>
      <c r="J519" s="10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9"/>
      <c r="J520" s="10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9"/>
      <c r="J521" s="10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9"/>
      <c r="J522" s="10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9"/>
      <c r="J523" s="10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9"/>
      <c r="J524" s="10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9"/>
      <c r="J525" s="10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9"/>
      <c r="J526" s="10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9"/>
      <c r="J527" s="10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9"/>
      <c r="J528" s="10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9"/>
      <c r="J529" s="10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9"/>
      <c r="J530" s="10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9"/>
      <c r="J531" s="10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9"/>
      <c r="J532" s="10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9"/>
      <c r="J533" s="10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9"/>
      <c r="J534" s="10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9"/>
      <c r="J535" s="10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9"/>
      <c r="J536" s="10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9"/>
      <c r="J537" s="10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9"/>
      <c r="J538" s="10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9"/>
      <c r="J539" s="10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9"/>
      <c r="J540" s="10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9"/>
      <c r="J541" s="10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9"/>
      <c r="J542" s="10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9"/>
      <c r="J543" s="10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9"/>
      <c r="J544" s="10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9"/>
      <c r="J545" s="10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9"/>
      <c r="J546" s="10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9"/>
      <c r="J547" s="10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9"/>
      <c r="J548" s="10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9"/>
      <c r="J549" s="10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9"/>
      <c r="J550" s="10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9"/>
      <c r="J551" s="10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9"/>
      <c r="J552" s="10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9"/>
      <c r="J553" s="10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9"/>
      <c r="J554" s="10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9"/>
      <c r="J555" s="10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9"/>
      <c r="J556" s="10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9"/>
      <c r="J557" s="10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9"/>
      <c r="J558" s="10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9"/>
      <c r="J559" s="10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9"/>
      <c r="J560" s="10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9"/>
      <c r="J561" s="10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9"/>
      <c r="J562" s="10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9"/>
      <c r="J563" s="10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9"/>
      <c r="J564" s="10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9"/>
      <c r="J565" s="10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9"/>
      <c r="J566" s="10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9"/>
      <c r="J567" s="10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9"/>
      <c r="J568" s="10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9"/>
      <c r="J569" s="10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9"/>
      <c r="J570" s="10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9"/>
      <c r="J571" s="10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9"/>
      <c r="J572" s="10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9"/>
      <c r="J573" s="10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9"/>
      <c r="J574" s="10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9"/>
      <c r="J575" s="10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9"/>
      <c r="J576" s="10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9"/>
      <c r="J577" s="10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9"/>
      <c r="J578" s="10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9"/>
      <c r="J579" s="10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9"/>
      <c r="J580" s="10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9"/>
      <c r="J581" s="10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9"/>
      <c r="J582" s="10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9"/>
      <c r="J583" s="10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9"/>
      <c r="J584" s="10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9"/>
      <c r="J585" s="10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9"/>
      <c r="J586" s="10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9"/>
      <c r="J587" s="10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9"/>
      <c r="J588" s="10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9"/>
      <c r="J589" s="10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9"/>
      <c r="J590" s="10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9"/>
      <c r="J591" s="10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9"/>
      <c r="J592" s="10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9"/>
      <c r="J593" s="10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9"/>
      <c r="J594" s="10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9"/>
      <c r="J595" s="10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9"/>
      <c r="J596" s="10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9"/>
      <c r="J597" s="10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9"/>
      <c r="J598" s="10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9"/>
      <c r="J599" s="10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9"/>
      <c r="J600" s="10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9"/>
      <c r="J601" s="10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9"/>
      <c r="J602" s="10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9"/>
      <c r="J603" s="10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9"/>
      <c r="J604" s="10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9"/>
      <c r="J605" s="10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9"/>
      <c r="J606" s="10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9"/>
      <c r="J607" s="10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9"/>
      <c r="J608" s="10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9"/>
      <c r="J609" s="10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9"/>
      <c r="J610" s="10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9"/>
      <c r="J611" s="10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9"/>
      <c r="J612" s="10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9"/>
      <c r="J613" s="10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9"/>
      <c r="J614" s="10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9"/>
      <c r="J615" s="10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9"/>
      <c r="J616" s="10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9"/>
      <c r="J617" s="10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9"/>
      <c r="J618" s="10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9"/>
      <c r="J619" s="10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9"/>
      <c r="J620" s="10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9"/>
      <c r="J621" s="10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9"/>
      <c r="J622" s="10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9"/>
      <c r="J623" s="10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9"/>
      <c r="J624" s="10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9"/>
      <c r="J625" s="10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9"/>
      <c r="J626" s="10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9"/>
      <c r="J627" s="10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9"/>
      <c r="J628" s="10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9"/>
      <c r="J629" s="10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9"/>
      <c r="J630" s="10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9"/>
      <c r="J631" s="10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9"/>
      <c r="J632" s="10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9"/>
      <c r="J633" s="10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9"/>
      <c r="J634" s="10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9"/>
      <c r="J635" s="10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9"/>
      <c r="J636" s="10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9"/>
      <c r="J637" s="10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9"/>
      <c r="J638" s="10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9"/>
      <c r="J639" s="10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9"/>
      <c r="J640" s="10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9"/>
      <c r="J641" s="10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9"/>
      <c r="J642" s="10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9"/>
      <c r="J643" s="10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9"/>
      <c r="J644" s="10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9"/>
      <c r="J645" s="10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9"/>
      <c r="J646" s="10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9"/>
      <c r="J647" s="10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9"/>
      <c r="J648" s="10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9"/>
      <c r="J649" s="10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9"/>
      <c r="J650" s="10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9"/>
      <c r="J651" s="10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9"/>
      <c r="J652" s="10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9"/>
      <c r="J653" s="10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9"/>
      <c r="J654" s="10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9"/>
      <c r="J655" s="10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9"/>
      <c r="J656" s="10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9"/>
      <c r="J657" s="10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9"/>
      <c r="J658" s="10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9"/>
      <c r="J659" s="10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9"/>
      <c r="J660" s="10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9"/>
      <c r="J661" s="10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9"/>
      <c r="J662" s="10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9"/>
      <c r="J663" s="10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9"/>
      <c r="J664" s="10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9"/>
      <c r="J665" s="10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9"/>
      <c r="J666" s="10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9"/>
      <c r="J667" s="10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9"/>
      <c r="J668" s="10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9"/>
      <c r="J669" s="10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9"/>
      <c r="J670" s="10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9"/>
      <c r="J671" s="10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9"/>
      <c r="J672" s="10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9"/>
      <c r="J673" s="10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9"/>
      <c r="J674" s="10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9"/>
      <c r="J675" s="10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9"/>
      <c r="J676" s="10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9"/>
      <c r="J677" s="10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9"/>
      <c r="J678" s="10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9"/>
      <c r="J679" s="10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9"/>
      <c r="J680" s="10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9"/>
      <c r="J681" s="10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9"/>
      <c r="J682" s="10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9"/>
      <c r="J683" s="10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9"/>
      <c r="J684" s="10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9"/>
      <c r="J685" s="10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9"/>
      <c r="J686" s="10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9"/>
      <c r="J687" s="10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9"/>
      <c r="J688" s="10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9"/>
      <c r="J689" s="10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9"/>
      <c r="J690" s="10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9"/>
      <c r="J691" s="10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9"/>
      <c r="J692" s="10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9"/>
      <c r="J693" s="10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9"/>
      <c r="J694" s="10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9"/>
      <c r="J695" s="10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9"/>
      <c r="J696" s="10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9"/>
      <c r="J697" s="10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9"/>
      <c r="J698" s="10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9"/>
      <c r="J699" s="10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9"/>
      <c r="J700" s="10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9"/>
      <c r="J701" s="10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9"/>
      <c r="J702" s="10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9"/>
      <c r="J703" s="10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9"/>
      <c r="J704" s="10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9"/>
      <c r="J705" s="10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9"/>
      <c r="J706" s="10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9"/>
      <c r="J707" s="10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9"/>
      <c r="J708" s="10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9"/>
      <c r="J709" s="10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9"/>
      <c r="J710" s="10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9"/>
      <c r="J711" s="10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9"/>
      <c r="J712" s="10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9"/>
      <c r="J713" s="10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9"/>
      <c r="J714" s="10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9"/>
      <c r="J715" s="10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9"/>
      <c r="J716" s="10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9"/>
      <c r="J717" s="10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9"/>
      <c r="J718" s="10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9"/>
      <c r="J719" s="10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9"/>
      <c r="J720" s="10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9"/>
      <c r="J721" s="10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9"/>
      <c r="J722" s="10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9"/>
      <c r="J723" s="10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9"/>
      <c r="J724" s="10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9"/>
      <c r="J725" s="10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9"/>
      <c r="J726" s="10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9"/>
      <c r="J727" s="10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9"/>
      <c r="J728" s="10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9"/>
      <c r="J729" s="10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9"/>
      <c r="J730" s="10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9"/>
      <c r="J731" s="10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9"/>
      <c r="J732" s="10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9"/>
      <c r="J733" s="10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9"/>
      <c r="J734" s="10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9"/>
      <c r="J735" s="10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9"/>
      <c r="J736" s="10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9"/>
      <c r="J737" s="10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9"/>
      <c r="J738" s="10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9"/>
      <c r="J739" s="10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9"/>
      <c r="J740" s="10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9"/>
      <c r="J741" s="10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9"/>
      <c r="J742" s="10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9"/>
      <c r="J743" s="10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9"/>
      <c r="J744" s="10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9"/>
      <c r="J745" s="10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9"/>
      <c r="J746" s="10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9"/>
      <c r="J747" s="10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9"/>
      <c r="J748" s="10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9"/>
      <c r="J749" s="10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9"/>
      <c r="J750" s="10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9"/>
      <c r="J751" s="10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9"/>
      <c r="J752" s="10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9"/>
      <c r="J753" s="10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9"/>
      <c r="J754" s="10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9"/>
      <c r="J755" s="10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9"/>
      <c r="J756" s="10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9"/>
      <c r="J757" s="10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9"/>
      <c r="J758" s="10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9"/>
      <c r="J759" s="10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9"/>
      <c r="J760" s="10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9"/>
      <c r="J761" s="10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9"/>
      <c r="J762" s="10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9"/>
      <c r="J763" s="10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9"/>
      <c r="J764" s="10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9"/>
      <c r="J765" s="10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9"/>
      <c r="J766" s="10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9"/>
      <c r="J767" s="10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9"/>
      <c r="J768" s="10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9"/>
      <c r="J769" s="10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9"/>
      <c r="J770" s="10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9"/>
      <c r="J771" s="10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9"/>
      <c r="J772" s="10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9"/>
      <c r="J773" s="10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9"/>
      <c r="J774" s="10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9"/>
      <c r="J775" s="10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9"/>
      <c r="J776" s="10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9"/>
      <c r="J777" s="10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9"/>
      <c r="J778" s="10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9"/>
      <c r="J779" s="10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9"/>
      <c r="J780" s="10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9"/>
      <c r="J781" s="10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9"/>
      <c r="J782" s="10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9"/>
      <c r="J783" s="10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9"/>
      <c r="J784" s="10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9"/>
      <c r="J785" s="10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9"/>
      <c r="J786" s="10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9"/>
      <c r="J787" s="10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9"/>
      <c r="J788" s="10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9"/>
      <c r="J789" s="10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9"/>
      <c r="J790" s="10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9"/>
      <c r="J791" s="10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9"/>
      <c r="J792" s="10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9"/>
      <c r="J793" s="10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9"/>
      <c r="J794" s="10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9"/>
      <c r="J795" s="10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9"/>
      <c r="J796" s="10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9"/>
      <c r="J797" s="10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9"/>
      <c r="J798" s="10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9"/>
      <c r="J799" s="10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9"/>
      <c r="J800" s="10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9"/>
      <c r="J801" s="10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9"/>
      <c r="J802" s="10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9"/>
      <c r="J803" s="10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9"/>
      <c r="J804" s="10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9"/>
      <c r="J805" s="10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9"/>
      <c r="J806" s="10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9"/>
      <c r="J807" s="10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9"/>
      <c r="J808" s="10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9"/>
      <c r="J809" s="10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9"/>
      <c r="J810" s="10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9"/>
      <c r="J811" s="10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9"/>
      <c r="J812" s="10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9"/>
      <c r="J813" s="10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9"/>
      <c r="J814" s="10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9"/>
      <c r="J815" s="10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9"/>
      <c r="J816" s="10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9"/>
      <c r="J817" s="10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9"/>
      <c r="J818" s="10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9"/>
      <c r="J819" s="10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9"/>
      <c r="J820" s="10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9"/>
      <c r="J821" s="10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9"/>
      <c r="J822" s="10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9"/>
      <c r="J823" s="10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9"/>
      <c r="J824" s="10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9"/>
      <c r="J825" s="10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9"/>
      <c r="J826" s="10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9"/>
      <c r="J827" s="10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9"/>
      <c r="J828" s="10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9"/>
      <c r="J829" s="10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9"/>
      <c r="J830" s="10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9"/>
      <c r="J831" s="10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9"/>
      <c r="J832" s="10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9"/>
      <c r="J833" s="10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9"/>
      <c r="J834" s="10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9"/>
      <c r="J835" s="10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9"/>
      <c r="J836" s="10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9"/>
      <c r="J837" s="10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9"/>
      <c r="J838" s="10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9"/>
      <c r="J839" s="10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9"/>
      <c r="J840" s="10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9"/>
      <c r="J841" s="10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9"/>
      <c r="J842" s="10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9"/>
      <c r="J843" s="10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9"/>
      <c r="J844" s="10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9"/>
      <c r="J845" s="10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9"/>
      <c r="J846" s="10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9"/>
      <c r="J847" s="10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9"/>
      <c r="J848" s="10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9"/>
      <c r="J849" s="10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9"/>
      <c r="J850" s="10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9"/>
      <c r="J851" s="10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9"/>
      <c r="J852" s="10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9"/>
      <c r="J853" s="10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9"/>
      <c r="J854" s="10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9"/>
      <c r="J855" s="10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9"/>
      <c r="J856" s="10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9"/>
      <c r="J857" s="10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9"/>
      <c r="J858" s="10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9"/>
      <c r="J859" s="10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9"/>
      <c r="J860" s="10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9"/>
      <c r="J861" s="10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9"/>
      <c r="J862" s="10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9"/>
      <c r="J863" s="10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9"/>
      <c r="J864" s="10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9"/>
      <c r="J865" s="10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9"/>
      <c r="J866" s="10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9"/>
      <c r="J867" s="10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9"/>
      <c r="J868" s="10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9"/>
      <c r="J869" s="10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9"/>
      <c r="J870" s="10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9"/>
      <c r="J871" s="10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9"/>
      <c r="J872" s="10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9"/>
      <c r="J873" s="10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9"/>
      <c r="J874" s="10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9"/>
      <c r="J875" s="10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9"/>
      <c r="J876" s="10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9"/>
      <c r="J877" s="10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9"/>
      <c r="J878" s="10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9"/>
      <c r="J879" s="10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9"/>
      <c r="J880" s="10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9"/>
      <c r="J881" s="10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9"/>
      <c r="J882" s="10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9"/>
      <c r="J883" s="10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9"/>
      <c r="J884" s="10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9"/>
      <c r="J885" s="10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9"/>
      <c r="J886" s="10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9"/>
      <c r="J887" s="10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9"/>
      <c r="J888" s="10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9"/>
      <c r="J889" s="10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9"/>
      <c r="J890" s="10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9"/>
      <c r="J891" s="10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9"/>
      <c r="J892" s="10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9"/>
      <c r="J893" s="10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9"/>
      <c r="J894" s="10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9"/>
      <c r="J895" s="10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9"/>
      <c r="J896" s="10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9"/>
      <c r="J897" s="10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9"/>
      <c r="J898" s="10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9"/>
      <c r="J899" s="10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9"/>
      <c r="J900" s="10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9"/>
      <c r="J901" s="10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9"/>
      <c r="J902" s="10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9"/>
      <c r="J903" s="10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9"/>
      <c r="J904" s="10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9"/>
      <c r="J905" s="10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9"/>
      <c r="J906" s="10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9"/>
      <c r="J907" s="10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9"/>
      <c r="J908" s="10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9"/>
      <c r="J909" s="10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9"/>
      <c r="J910" s="10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9"/>
      <c r="J911" s="10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9"/>
      <c r="J912" s="10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9"/>
      <c r="J913" s="10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9"/>
      <c r="J914" s="10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9"/>
      <c r="J915" s="10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9"/>
      <c r="J916" s="10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9"/>
      <c r="J917" s="10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9"/>
      <c r="J918" s="10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9"/>
      <c r="J919" s="10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9"/>
      <c r="J920" s="10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9"/>
      <c r="J921" s="10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9"/>
      <c r="J922" s="10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9"/>
      <c r="J923" s="10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9"/>
      <c r="J924" s="10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9"/>
      <c r="J925" s="10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9"/>
      <c r="J926" s="10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9"/>
      <c r="J927" s="10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9"/>
      <c r="J928" s="10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9"/>
      <c r="J929" s="10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9"/>
      <c r="J930" s="10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9"/>
      <c r="J931" s="10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9"/>
      <c r="J932" s="10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9"/>
      <c r="J933" s="10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9"/>
      <c r="J934" s="10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9"/>
      <c r="J935" s="10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9"/>
      <c r="J936" s="10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9"/>
      <c r="J937" s="10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9"/>
      <c r="J938" s="10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9"/>
      <c r="J939" s="10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9"/>
      <c r="J940" s="10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9"/>
      <c r="J941" s="10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9"/>
      <c r="J942" s="10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9"/>
      <c r="J943" s="10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9"/>
      <c r="J944" s="10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9"/>
      <c r="J945" s="10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9"/>
      <c r="J946" s="10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9"/>
      <c r="J947" s="10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9"/>
      <c r="J948" s="10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9"/>
      <c r="J949" s="10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9"/>
      <c r="J950" s="10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9"/>
      <c r="J951" s="10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9"/>
      <c r="J952" s="10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9"/>
      <c r="J953" s="10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9"/>
      <c r="J954" s="10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9"/>
      <c r="J955" s="10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9"/>
      <c r="J956" s="10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9"/>
      <c r="J957" s="10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9"/>
      <c r="J958" s="10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9"/>
      <c r="J959" s="10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9"/>
      <c r="J960" s="10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9"/>
      <c r="J961" s="10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9"/>
      <c r="J962" s="10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9"/>
      <c r="J963" s="10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9"/>
      <c r="J964" s="10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9"/>
      <c r="J965" s="10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9"/>
      <c r="J966" s="10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9"/>
      <c r="J967" s="10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9"/>
      <c r="J968" s="10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9"/>
      <c r="J969" s="10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9"/>
      <c r="J970" s="10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9"/>
      <c r="J971" s="10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9"/>
      <c r="J972" s="10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9"/>
      <c r="J973" s="10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9"/>
      <c r="J974" s="10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9"/>
      <c r="J975" s="10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9"/>
      <c r="J976" s="10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9"/>
      <c r="J977" s="10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9"/>
      <c r="J978" s="10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9"/>
      <c r="J979" s="10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9"/>
      <c r="J980" s="10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9"/>
      <c r="J981" s="10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9"/>
      <c r="J982" s="10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9"/>
      <c r="J983" s="10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9"/>
      <c r="J984" s="10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9"/>
      <c r="J985" s="10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9"/>
      <c r="J986" s="10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9"/>
      <c r="J987" s="10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9"/>
      <c r="J988" s="10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9"/>
      <c r="J989" s="10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9"/>
      <c r="J990" s="10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9"/>
      <c r="J991" s="10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9"/>
      <c r="J992" s="10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9"/>
      <c r="J993" s="10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9"/>
      <c r="J994" s="10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9"/>
      <c r="J995" s="10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9"/>
      <c r="J996" s="10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9"/>
      <c r="J997" s="10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9"/>
      <c r="J998" s="10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9"/>
      <c r="J999" s="10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9"/>
      <c r="J1000" s="10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0.38"/>
  </cols>
  <sheetData>
    <row r="1">
      <c r="A1" s="4" t="str">
        <f>IFERROR(__xludf.DUMMYFUNCTION("SORT(UNIQUE(FILTER({Characters!B:B;Characters!C:C},{Characters!B:B;Characters!C:C}&lt;&gt;"""")))"),"Amphoreus")</f>
        <v>Amphoreus</v>
      </c>
      <c r="B1" s="4">
        <f>SUMIF(Characters!B:B,A1,Characters!P:P)+SUMIF(Characters!C:C,A1,Characters!Q:Q)</f>
        <v>0</v>
      </c>
      <c r="C1" s="11"/>
    </row>
    <row r="2">
      <c r="A2" s="4" t="str">
        <f>IFERROR(__xludf.DUMMYFUNCTION("""COMPUTED_VALUE"""),"Arcadia")</f>
        <v>Arcadia</v>
      </c>
      <c r="B2" s="4">
        <f>SUMIF(Characters!B:B,A2,Characters!P:P)+SUMIF(Characters!C:C,A2,Characters!Q:Q)</f>
        <v>0</v>
      </c>
      <c r="C2" s="11"/>
    </row>
    <row r="3">
      <c r="A3" s="4" t="str">
        <f>IFERROR(__xludf.DUMMYFUNCTION("""COMPUTED_VALUE"""),"Ashblazing")</f>
        <v>Ashblazing</v>
      </c>
      <c r="B3" s="4">
        <f>SUMIF(Characters!B:B,A3,Characters!P:P)+SUMIF(Characters!C:C,A3,Characters!Q:Q)</f>
        <v>0</v>
      </c>
      <c r="C3" s="11"/>
    </row>
    <row r="4">
      <c r="A4" s="4" t="str">
        <f>IFERROR(__xludf.DUMMYFUNCTION("""COMPUTED_VALUE"""),"Bone")</f>
        <v>Bone</v>
      </c>
      <c r="B4" s="4">
        <f>SUMIF(Characters!B:B,A4,Characters!P:P)+SUMIF(Characters!C:C,A4,Characters!Q:Q)</f>
        <v>0.25</v>
      </c>
      <c r="C4" s="11"/>
    </row>
    <row r="5">
      <c r="A5" s="4" t="str">
        <f>IFERROR(__xludf.DUMMYFUNCTION("""COMPUTED_VALUE"""),"Broken")</f>
        <v>Broken</v>
      </c>
      <c r="B5" s="4">
        <f>SUMIF(Characters!B:B,A5,Characters!P:P)+SUMIF(Characters!C:C,A5,Characters!Q:Q)</f>
        <v>0.25</v>
      </c>
      <c r="C5" s="11"/>
    </row>
    <row r="6">
      <c r="A6" s="4" t="str">
        <f>IFERROR(__xludf.DUMMYFUNCTION("""COMPUTED_VALUE"""),"Eagle")</f>
        <v>Eagle</v>
      </c>
      <c r="B6" s="4">
        <f>SUMIF(Characters!B:B,A6,Characters!P:P)+SUMIF(Characters!C:C,A6,Characters!Q:Q)</f>
        <v>0.5</v>
      </c>
      <c r="C6" s="11"/>
    </row>
    <row r="7">
      <c r="A7" s="4" t="str">
        <f>IFERROR(__xludf.DUMMYFUNCTION("""COMPUTED_VALUE"""),"Fleet")</f>
        <v>Fleet</v>
      </c>
      <c r="B7" s="4">
        <f>SUMIF(Characters!B:B,A7,Characters!P:P)+SUMIF(Characters!C:C,A7,Characters!Q:Q)</f>
        <v>0.5</v>
      </c>
      <c r="C7" s="11"/>
    </row>
    <row r="8">
      <c r="A8" s="4" t="str">
        <f>IFERROR(__xludf.DUMMYFUNCTION("""COMPUTED_VALUE"""),"Forge")</f>
        <v>Forge</v>
      </c>
      <c r="B8" s="4">
        <f>SUMIF(Characters!B:B,A8,Characters!P:P)+SUMIF(Characters!C:C,A8,Characters!Q:Q)</f>
        <v>0</v>
      </c>
      <c r="C8" s="11"/>
    </row>
    <row r="9">
      <c r="A9" s="4" t="str">
        <f>IFERROR(__xludf.DUMMYFUNCTION("""COMPUTED_VALUE"""),"Genius")</f>
        <v>Genius</v>
      </c>
      <c r="B9" s="4">
        <f>SUMIF(Characters!B:B,A9,Characters!P:P)+SUMIF(Characters!C:C,A9,Characters!Q:Q)</f>
        <v>0.5</v>
      </c>
      <c r="C9" s="11"/>
    </row>
    <row r="10">
      <c r="A10" s="4" t="str">
        <f>IFERROR(__xludf.DUMMYFUNCTION("""COMPUTED_VALUE"""),"Giant")</f>
        <v>Giant</v>
      </c>
      <c r="B10" s="4">
        <f>SUMIF(Characters!B:B,A10,Characters!P:P)+SUMIF(Characters!C:C,A10,Characters!Q:Q)</f>
        <v>0</v>
      </c>
      <c r="C10" s="11"/>
    </row>
    <row r="11">
      <c r="A11" s="4" t="str">
        <f>IFERROR(__xludf.DUMMYFUNCTION("""COMPUTED_VALUE"""),"Hero")</f>
        <v>Hero</v>
      </c>
      <c r="B11" s="4">
        <f>SUMIF(Characters!B:B,A11,Characters!P:P)+SUMIF(Characters!C:C,A11,Characters!Q:Q)</f>
        <v>1</v>
      </c>
      <c r="C11" s="11"/>
    </row>
    <row r="12">
      <c r="A12" s="4" t="str">
        <f>IFERROR(__xludf.DUMMYFUNCTION("""COMPUTED_VALUE"""),"Inert")</f>
        <v>Inert</v>
      </c>
      <c r="B12" s="4">
        <f>SUMIF(Characters!B:B,A12,Characters!P:P)+SUMIF(Characters!C:C,A12,Characters!Q:Q)</f>
        <v>0</v>
      </c>
      <c r="C12" s="11"/>
    </row>
    <row r="13">
      <c r="A13" s="4" t="str">
        <f>IFERROR(__xludf.DUMMYFUNCTION("""COMPUTED_VALUE"""),"Iron")</f>
        <v>Iron</v>
      </c>
      <c r="B13" s="4">
        <f>SUMIF(Characters!B:B,A13,Characters!P:P)+SUMIF(Characters!C:C,A13,Characters!Q:Q)</f>
        <v>0.75</v>
      </c>
      <c r="C13" s="11"/>
    </row>
    <row r="14">
      <c r="A14" s="4" t="str">
        <f>IFERROR(__xludf.DUMMYFUNCTION("""COMPUTED_VALUE"""),"Izumo")</f>
        <v>Izumo</v>
      </c>
      <c r="B14" s="4">
        <f>SUMIF(Characters!B:B,A14,Characters!P:P)+SUMIF(Characters!C:C,A14,Characters!Q:Q)</f>
        <v>0.5</v>
      </c>
      <c r="C14" s="11"/>
    </row>
    <row r="15">
      <c r="A15" s="4" t="str">
        <f>IFERROR(__xludf.DUMMYFUNCTION("""COMPUTED_VALUE"""),"Knight")</f>
        <v>Knight</v>
      </c>
      <c r="B15" s="4">
        <f>SUMIF(Characters!B:B,A15,Characters!P:P)+SUMIF(Characters!C:C,A15,Characters!Q:Q)</f>
        <v>0.5</v>
      </c>
      <c r="C15" s="11"/>
    </row>
    <row r="16">
      <c r="A16" s="4" t="str">
        <f>IFERROR(__xludf.DUMMYFUNCTION("""COMPUTED_VALUE"""),"Longevous")</f>
        <v>Longevous</v>
      </c>
      <c r="B16" s="4">
        <f>SUMIF(Characters!B:B,A16,Characters!P:P)+SUMIF(Characters!C:C,A16,Characters!Q:Q)</f>
        <v>0</v>
      </c>
      <c r="C16" s="11"/>
    </row>
    <row r="17">
      <c r="A17" s="4" t="str">
        <f>IFERROR(__xludf.DUMMYFUNCTION("""COMPUTED_VALUE"""),"Lushaka")</f>
        <v>Lushaka</v>
      </c>
      <c r="B17" s="4">
        <f>SUMIF(Characters!B:B,A17,Characters!P:P)+SUMIF(Characters!C:C,A17,Characters!Q:Q)</f>
        <v>1.5</v>
      </c>
      <c r="C17" s="11"/>
    </row>
    <row r="18">
      <c r="A18" s="4" t="str">
        <f>IFERROR(__xludf.DUMMYFUNCTION("""COMPUTED_VALUE"""),"Messenger")</f>
        <v>Messenger</v>
      </c>
      <c r="B18" s="4">
        <f>SUMIF(Characters!B:B,A18,Characters!P:P)+SUMIF(Characters!C:C,A18,Characters!Q:Q)</f>
        <v>0</v>
      </c>
      <c r="C18" s="11"/>
    </row>
    <row r="19">
      <c r="A19" s="4" t="str">
        <f>IFERROR(__xludf.DUMMYFUNCTION("""COMPUTED_VALUE"""),"Musketeer")</f>
        <v>Musketeer</v>
      </c>
      <c r="B19" s="4">
        <f>SUMIF(Characters!B:B,A19,Characters!P:P)+SUMIF(Characters!C:C,A19,Characters!Q:Q)</f>
        <v>0</v>
      </c>
      <c r="C19" s="11"/>
    </row>
    <row r="20">
      <c r="A20" s="4" t="str">
        <f>IFERROR(__xludf.DUMMYFUNCTION("""COMPUTED_VALUE"""),"Pan-Cosmic")</f>
        <v>Pan-Cosmic</v>
      </c>
      <c r="B20" s="4">
        <f>SUMIF(Characters!B:B,A20,Characters!P:P)+SUMIF(Characters!C:C,A20,Characters!Q:Q)</f>
        <v>0.25</v>
      </c>
      <c r="C20" s="11"/>
    </row>
    <row r="21">
      <c r="A21" s="4" t="str">
        <f>IFERROR(__xludf.DUMMYFUNCTION("""COMPUTED_VALUE"""),"Passerby")</f>
        <v>Passerby</v>
      </c>
      <c r="B21" s="4">
        <f>SUMIF(Characters!B:B,A21,Characters!P:P)+SUMIF(Characters!C:C,A21,Characters!Q:Q)</f>
        <v>1</v>
      </c>
      <c r="C21" s="11"/>
    </row>
    <row r="22">
      <c r="A22" s="4" t="str">
        <f>IFERROR(__xludf.DUMMYFUNCTION("""COMPUTED_VALUE"""),"Pioneer")</f>
        <v>Pioneer</v>
      </c>
      <c r="B22" s="4">
        <f>SUMIF(Characters!B:B,A22,Characters!P:P)+SUMIF(Characters!C:C,A22,Characters!Q:Q)</f>
        <v>0</v>
      </c>
      <c r="C22" s="11"/>
    </row>
    <row r="23">
      <c r="A23" s="4" t="str">
        <f>IFERROR(__xludf.DUMMYFUNCTION("""COMPUTED_VALUE"""),"Poet")</f>
        <v>Poet</v>
      </c>
      <c r="B23" s="4">
        <f>SUMIF(Characters!B:B,A23,Characters!P:P)+SUMIF(Characters!C:C,A23,Characters!Q:Q)</f>
        <v>0.25</v>
      </c>
      <c r="C23" s="11"/>
    </row>
    <row r="24">
      <c r="A24" s="4" t="str">
        <f>IFERROR(__xludf.DUMMYFUNCTION("""COMPUTED_VALUE"""),"Prisoner")</f>
        <v>Prisoner</v>
      </c>
      <c r="B24" s="4">
        <f>SUMIF(Characters!B:B,A24,Characters!P:P)+SUMIF(Characters!C:C,A24,Characters!Q:Q)</f>
        <v>0.75</v>
      </c>
      <c r="C24" s="11"/>
    </row>
    <row r="25">
      <c r="A25" s="4" t="str">
        <f>IFERROR(__xludf.DUMMYFUNCTION("""COMPUTED_VALUE"""),"Revelry")</f>
        <v>Revelry</v>
      </c>
      <c r="B25" s="4">
        <f>SUMIF(Characters!B:B,A25,Characters!P:P)+SUMIF(Characters!C:C,A25,Characters!Q:Q)</f>
        <v>0.5</v>
      </c>
      <c r="C25" s="11"/>
    </row>
    <row r="26">
      <c r="A26" s="4" t="str">
        <f>IFERROR(__xludf.DUMMYFUNCTION("""COMPUTED_VALUE"""),"Rutilant")</f>
        <v>Rutilant</v>
      </c>
      <c r="B26" s="4">
        <f>SUMIF(Characters!B:B,A26,Characters!P:P)+SUMIF(Characters!C:C,A26,Characters!Q:Q)</f>
        <v>0</v>
      </c>
      <c r="C26" s="11"/>
    </row>
    <row r="27">
      <c r="A27" s="4" t="str">
        <f>IFERROR(__xludf.DUMMYFUNCTION("""COMPUTED_VALUE"""),"Sacerdos")</f>
        <v>Sacerdos</v>
      </c>
      <c r="B27" s="4">
        <f>SUMIF(Characters!B:B,A27,Characters!P:P)+SUMIF(Characters!C:C,A27,Characters!Q:Q)</f>
        <v>0.5</v>
      </c>
      <c r="C27" s="11"/>
    </row>
    <row r="28">
      <c r="A28" s="4" t="str">
        <f>IFERROR(__xludf.DUMMYFUNCTION("""COMPUTED_VALUE"""),"Scholar")</f>
        <v>Scholar</v>
      </c>
      <c r="B28" s="4">
        <f>SUMIF(Characters!B:B,A28,Characters!P:P)+SUMIF(Characters!C:C,A28,Characters!Q:Q)</f>
        <v>0</v>
      </c>
      <c r="C28" s="11"/>
    </row>
    <row r="29">
      <c r="A29" s="4" t="str">
        <f>IFERROR(__xludf.DUMMYFUNCTION("""COMPUTED_VALUE"""),"Self-Enshrouded")</f>
        <v>Self-Enshrouded</v>
      </c>
      <c r="B29" s="4">
        <f>SUMIF(Characters!B:B,A29,Characters!P:P)+SUMIF(Characters!C:C,A29,Characters!Q:Q)</f>
        <v>1.25</v>
      </c>
      <c r="C29" s="11"/>
    </row>
    <row r="30">
      <c r="A30" s="4" t="str">
        <f>IFERROR(__xludf.DUMMYFUNCTION("""COMPUTED_VALUE"""),"Sprightly")</f>
        <v>Sprightly</v>
      </c>
      <c r="B30" s="4">
        <f>SUMIF(Characters!B:B,A30,Characters!P:P)+SUMIF(Characters!C:C,A30,Characters!Q:Q)</f>
        <v>1</v>
      </c>
      <c r="C30" s="11"/>
    </row>
    <row r="31">
      <c r="A31" s="4" t="str">
        <f>IFERROR(__xludf.DUMMYFUNCTION("""COMPUTED_VALUE"""),"Talia")</f>
        <v>Talia</v>
      </c>
      <c r="B31" s="4">
        <f>SUMIF(Characters!B:B,A31,Characters!P:P)+SUMIF(Characters!C:C,A31,Characters!Q:Q)</f>
        <v>0.25</v>
      </c>
      <c r="C31" s="11"/>
    </row>
    <row r="32">
      <c r="A32" s="4" t="str">
        <f>IFERROR(__xludf.DUMMYFUNCTION("""COMPUTED_VALUE"""),"Warrior")</f>
        <v>Warrior</v>
      </c>
      <c r="B32" s="4">
        <f>SUMIF(Characters!B:B,A32,Characters!P:P)+SUMIF(Characters!C:C,A32,Characters!Q:Q)</f>
        <v>0</v>
      </c>
      <c r="C32" s="11"/>
    </row>
    <row r="33">
      <c r="A33" s="4" t="str">
        <f>IFERROR(__xludf.DUMMYFUNCTION("""COMPUTED_VALUE"""),"Watchmaker")</f>
        <v>Watchmaker</v>
      </c>
      <c r="B33" s="4">
        <f>SUMIF(Characters!B:B,A33,Characters!P:P)+SUMIF(Characters!C:C,A33,Characters!Q:Q)</f>
        <v>1</v>
      </c>
      <c r="C33" s="11"/>
    </row>
    <row r="34">
      <c r="A34" s="4" t="str">
        <f>IFERROR(__xludf.DUMMYFUNCTION("""COMPUTED_VALUE"""),"Wavestrider")</f>
        <v>Wavestrider</v>
      </c>
      <c r="B34" s="4">
        <f>SUMIF(Characters!B:B,A34,Characters!P:P)+SUMIF(Characters!C:C,A34,Characters!Q:Q)</f>
        <v>0.25</v>
      </c>
      <c r="C34" s="11"/>
    </row>
    <row r="35">
      <c r="A35" s="12" t="str">
        <f>IFERROR(__xludf.DUMMYFUNCTION("""COMPUTED_VALUE"""),"World-Remaking")</f>
        <v>World-Remaking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15.5"/>
    <col customWidth="1" min="3" max="3" width="19.63"/>
    <col customWidth="1" min="4" max="6" width="8.13"/>
  </cols>
  <sheetData>
    <row r="1">
      <c r="A1" s="13" t="s">
        <v>63</v>
      </c>
      <c r="B1" s="13" t="s">
        <v>14</v>
      </c>
      <c r="C1" s="13" t="s">
        <v>64</v>
      </c>
      <c r="D1" s="14">
        <f>IF(B1="",,IFERROR(VLOOKUP(B1, SetValues!A:B, 2, FALSE), 0))</f>
        <v>1.5</v>
      </c>
      <c r="E1" s="14">
        <f>IF(C1="",,IFERROR(VLOOKUP(C1, SetValues!A:B, 2, FALSE), 0))</f>
        <v>0</v>
      </c>
      <c r="F1" s="14">
        <f t="shared" ref="F1:F27" si="1">IF(A1="",,D1+E1)</f>
        <v>1.5</v>
      </c>
    </row>
    <row r="2">
      <c r="A2" s="13" t="s">
        <v>65</v>
      </c>
      <c r="B2" s="13" t="s">
        <v>36</v>
      </c>
      <c r="C2" s="13" t="s">
        <v>31</v>
      </c>
      <c r="D2" s="14">
        <f>IF(B2="",,IFERROR(VLOOKUP(B2, SetValues!A:B, 2, FALSE), 0))</f>
        <v>1</v>
      </c>
      <c r="E2" s="14">
        <f>IF(C2="",,IFERROR(VLOOKUP(C2, SetValues!A:B, 2, FALSE), 0))</f>
        <v>0.25</v>
      </c>
      <c r="F2" s="14">
        <f t="shared" si="1"/>
        <v>1.25</v>
      </c>
    </row>
    <row r="3">
      <c r="A3" s="13" t="s">
        <v>66</v>
      </c>
      <c r="B3" s="13" t="s">
        <v>28</v>
      </c>
      <c r="C3" s="13" t="s">
        <v>16</v>
      </c>
      <c r="D3" s="14" t="str">
        <f>IF(B3="",,IFERROR(VLOOKUP(B3, SetValues!A:B, 2, FALSE), 0))</f>
        <v/>
      </c>
      <c r="E3" s="14">
        <f>IF(C3="",,IFERROR(VLOOKUP(C3, SetValues!A:B, 2, FALSE), 0))</f>
        <v>1.25</v>
      </c>
      <c r="F3" s="14">
        <f t="shared" si="1"/>
        <v>1.25</v>
      </c>
    </row>
    <row r="4">
      <c r="A4" s="13" t="s">
        <v>67</v>
      </c>
      <c r="B4" s="13" t="s">
        <v>52</v>
      </c>
      <c r="C4" s="13" t="s">
        <v>62</v>
      </c>
      <c r="D4" s="14">
        <f>IF(B4="",,IFERROR(VLOOKUP(B4, SetValues!A:B, 2, FALSE), 0))</f>
        <v>1</v>
      </c>
      <c r="E4" s="14">
        <f>IF(C4="",,IFERROR(VLOOKUP(C4, SetValues!A:B, 2, FALSE), 0))</f>
        <v>0</v>
      </c>
      <c r="F4" s="14">
        <f t="shared" si="1"/>
        <v>1</v>
      </c>
    </row>
    <row r="5">
      <c r="A5" s="13" t="s">
        <v>68</v>
      </c>
      <c r="B5" s="13" t="s">
        <v>40</v>
      </c>
      <c r="C5" s="13" t="s">
        <v>25</v>
      </c>
      <c r="D5" s="14">
        <f>IF(B5="",,IFERROR(VLOOKUP(B5, SetValues!A:B, 2, FALSE), 0))</f>
        <v>0</v>
      </c>
      <c r="E5" s="14">
        <f>IF(C5="",,IFERROR(VLOOKUP(C5, SetValues!A:B, 2, FALSE), 0))</f>
        <v>1</v>
      </c>
      <c r="F5" s="14">
        <f t="shared" si="1"/>
        <v>1</v>
      </c>
    </row>
    <row r="6">
      <c r="A6" s="13" t="s">
        <v>69</v>
      </c>
      <c r="B6" s="13" t="s">
        <v>19</v>
      </c>
      <c r="C6" s="13" t="s">
        <v>70</v>
      </c>
      <c r="D6" s="14">
        <f>IF(B6="",,IFERROR(VLOOKUP(B6, SetValues!A:B, 2, FALSE), 0))</f>
        <v>0.75</v>
      </c>
      <c r="E6" s="14">
        <f>IF(C6="",,IFERROR(VLOOKUP(C6, SetValues!A:B, 2, FALSE), 0))</f>
        <v>0</v>
      </c>
      <c r="F6" s="14">
        <f t="shared" si="1"/>
        <v>0.75</v>
      </c>
    </row>
    <row r="7">
      <c r="A7" s="13" t="s">
        <v>71</v>
      </c>
      <c r="B7" s="13" t="s">
        <v>57</v>
      </c>
      <c r="C7" s="13" t="s">
        <v>1</v>
      </c>
      <c r="D7" s="14">
        <f>IF(B7="",,IFERROR(VLOOKUP(B7, SetValues!A:B, 2, FALSE), 0))</f>
        <v>0</v>
      </c>
      <c r="E7" s="14">
        <f>IF(C7="",,IFERROR(VLOOKUP(C7, SetValues!A:B, 2, FALSE), 0))</f>
        <v>0.75</v>
      </c>
      <c r="F7" s="14">
        <f t="shared" si="1"/>
        <v>0.75</v>
      </c>
    </row>
    <row r="8">
      <c r="A8" s="13" t="s">
        <v>72</v>
      </c>
      <c r="B8" s="13" t="s">
        <v>73</v>
      </c>
      <c r="C8" s="13" t="s">
        <v>38</v>
      </c>
      <c r="D8" s="14">
        <f>IF(B8="",,IFERROR(VLOOKUP(B8, SetValues!A:B, 2, FALSE), 0))</f>
        <v>0</v>
      </c>
      <c r="E8" s="14">
        <f>IF(C8="",,IFERROR(VLOOKUP(C8, SetValues!A:B, 2, FALSE), 0))</f>
        <v>0.5</v>
      </c>
      <c r="F8" s="14">
        <f t="shared" si="1"/>
        <v>0.5</v>
      </c>
    </row>
    <row r="9">
      <c r="A9" s="13" t="s">
        <v>74</v>
      </c>
      <c r="B9" s="13" t="s">
        <v>45</v>
      </c>
      <c r="C9" s="13" t="s">
        <v>75</v>
      </c>
      <c r="D9" s="14">
        <f>IF(B9="",,IFERROR(VLOOKUP(B9, SetValues!A:B, 2, FALSE), 0))</f>
        <v>0.5</v>
      </c>
      <c r="E9" s="14">
        <f>IF(C9="",,IFERROR(VLOOKUP(C9, SetValues!A:B, 2, FALSE), 0))</f>
        <v>0</v>
      </c>
      <c r="F9" s="14">
        <f t="shared" si="1"/>
        <v>0.5</v>
      </c>
    </row>
    <row r="10">
      <c r="A10" s="13" t="s">
        <v>76</v>
      </c>
      <c r="B10" s="13" t="s">
        <v>47</v>
      </c>
      <c r="C10" s="13" t="s">
        <v>13</v>
      </c>
      <c r="D10" s="14">
        <f>IF(B10="",,IFERROR(VLOOKUP(B10, SetValues!A:B, 2, FALSE), 0))</f>
        <v>0</v>
      </c>
      <c r="E10" s="14">
        <f>IF(C10="",,IFERROR(VLOOKUP(C10, SetValues!A:B, 2, FALSE), 0))</f>
        <v>0.5</v>
      </c>
      <c r="F10" s="14">
        <f t="shared" si="1"/>
        <v>0.5</v>
      </c>
    </row>
    <row r="11">
      <c r="A11" s="13" t="s">
        <v>77</v>
      </c>
      <c r="B11" s="13" t="s">
        <v>78</v>
      </c>
      <c r="C11" s="13" t="s">
        <v>53</v>
      </c>
      <c r="D11" s="14">
        <f>IF(B11="",,IFERROR(VLOOKUP(B11, SetValues!A:B, 2, FALSE), 0))</f>
        <v>0</v>
      </c>
      <c r="E11" s="14">
        <f>IF(C11="",,IFERROR(VLOOKUP(C11, SetValues!A:B, 2, FALSE), 0))</f>
        <v>0.5</v>
      </c>
      <c r="F11" s="14">
        <f t="shared" si="1"/>
        <v>0.5</v>
      </c>
    </row>
    <row r="12">
      <c r="A12" s="13" t="s">
        <v>79</v>
      </c>
      <c r="B12" s="13" t="s">
        <v>80</v>
      </c>
      <c r="C12" s="13" t="s">
        <v>41</v>
      </c>
      <c r="D12" s="14">
        <f>IF(B12="",,IFERROR(VLOOKUP(B12, SetValues!A:B, 2, FALSE), 0))</f>
        <v>0</v>
      </c>
      <c r="E12" s="14">
        <f>IF(C12="",,IFERROR(VLOOKUP(C12, SetValues!A:B, 2, FALSE), 0))</f>
        <v>0.5</v>
      </c>
      <c r="F12" s="14">
        <f t="shared" si="1"/>
        <v>0.5</v>
      </c>
    </row>
    <row r="13">
      <c r="A13" s="13" t="s">
        <v>81</v>
      </c>
      <c r="B13" s="13" t="s">
        <v>82</v>
      </c>
      <c r="C13" s="13" t="s">
        <v>55</v>
      </c>
      <c r="D13" s="14">
        <f>IF(B13="",,IFERROR(VLOOKUP(B13, SetValues!A:B, 2, FALSE), 0))</f>
        <v>0</v>
      </c>
      <c r="E13" s="14">
        <f>IF(C13="",,IFERROR(VLOOKUP(C13, SetValues!A:B, 2, FALSE), 0))</f>
        <v>0.5</v>
      </c>
      <c r="F13" s="14">
        <f t="shared" si="1"/>
        <v>0.5</v>
      </c>
    </row>
    <row r="14">
      <c r="A14" s="13" t="s">
        <v>83</v>
      </c>
      <c r="B14" s="13" t="s">
        <v>11</v>
      </c>
      <c r="C14" s="13" t="s">
        <v>2</v>
      </c>
      <c r="D14" s="14">
        <f>IF(B14="",,IFERROR(VLOOKUP(B14, SetValues!A:B, 2, FALSE), 0))</f>
        <v>0</v>
      </c>
      <c r="E14" s="14">
        <f>IF(C14="",,IFERROR(VLOOKUP(C14, SetValues!A:B, 2, FALSE), 0))</f>
        <v>0.5</v>
      </c>
      <c r="F14" s="14">
        <f t="shared" si="1"/>
        <v>0.5</v>
      </c>
    </row>
    <row r="15">
      <c r="A15" s="13" t="s">
        <v>84</v>
      </c>
      <c r="B15" s="13" t="s">
        <v>50</v>
      </c>
      <c r="C15" s="13" t="s">
        <v>43</v>
      </c>
      <c r="D15" s="14">
        <f>IF(B15="",,IFERROR(VLOOKUP(B15, SetValues!A:B, 2, FALSE), 0))</f>
        <v>0</v>
      </c>
      <c r="E15" s="14">
        <f>IF(C15="",,IFERROR(VLOOKUP(C15, SetValues!A:B, 2, FALSE), 0))</f>
        <v>0.25</v>
      </c>
      <c r="F15" s="14">
        <f t="shared" si="1"/>
        <v>0.25</v>
      </c>
    </row>
    <row r="16">
      <c r="A16" s="13" t="s">
        <v>85</v>
      </c>
      <c r="B16" s="13" t="s">
        <v>32</v>
      </c>
      <c r="C16" s="13" t="s">
        <v>8</v>
      </c>
      <c r="D16" s="14">
        <f>IF(B16="",,IFERROR(VLOOKUP(B16, SetValues!A:B, 2, FALSE), 0))</f>
        <v>0.25</v>
      </c>
      <c r="E16" s="14">
        <f>IF(C16="",,IFERROR(VLOOKUP(C16, SetValues!A:B, 2, FALSE), 0))</f>
        <v>0</v>
      </c>
      <c r="F16" s="14">
        <f t="shared" si="1"/>
        <v>0.25</v>
      </c>
    </row>
    <row r="17">
      <c r="A17" s="13" t="s">
        <v>86</v>
      </c>
      <c r="B17" s="13" t="s">
        <v>23</v>
      </c>
      <c r="C17" s="13" t="s">
        <v>26</v>
      </c>
      <c r="D17" s="14">
        <f>IF(B17="",,IFERROR(VLOOKUP(B17, SetValues!A:B, 2, FALSE), 0))</f>
        <v>0.25</v>
      </c>
      <c r="E17" s="14">
        <f>IF(C17="",,IFERROR(VLOOKUP(C17, SetValues!A:B, 2, FALSE), 0))</f>
        <v>1</v>
      </c>
      <c r="F17" s="14">
        <f t="shared" si="1"/>
        <v>1.25</v>
      </c>
    </row>
    <row r="18">
      <c r="A18" s="13" t="s">
        <v>87</v>
      </c>
      <c r="B18" s="13" t="s">
        <v>5</v>
      </c>
      <c r="C18" s="13" t="s">
        <v>88</v>
      </c>
      <c r="D18" s="14">
        <f>IF(B18="",,IFERROR(VLOOKUP(B18, SetValues!A:B, 2, FALSE), 0))</f>
        <v>0.25</v>
      </c>
      <c r="E18" s="14">
        <f>IF(C18="",,IFERROR(VLOOKUP(C18, SetValues!A:B, 2, FALSE), 0))</f>
        <v>0</v>
      </c>
      <c r="F18" s="14">
        <f t="shared" si="1"/>
        <v>0.25</v>
      </c>
    </row>
    <row r="19">
      <c r="A19" s="13" t="s">
        <v>89</v>
      </c>
      <c r="B19" s="13" t="s">
        <v>7</v>
      </c>
      <c r="C19" s="13" t="s">
        <v>10</v>
      </c>
      <c r="D19" s="14">
        <f>IF(B19="",,IFERROR(VLOOKUP(B19, SetValues!A:B, 2, FALSE), 0))</f>
        <v>0</v>
      </c>
      <c r="E19" s="14">
        <f>IF(C19="",,IFERROR(VLOOKUP(C19, SetValues!A:B, 2, FALSE), 0))</f>
        <v>0.25</v>
      </c>
      <c r="F19" s="14">
        <f t="shared" si="1"/>
        <v>0.25</v>
      </c>
    </row>
    <row r="20">
      <c r="A20" s="13" t="s">
        <v>90</v>
      </c>
      <c r="B20" s="13" t="s">
        <v>49</v>
      </c>
      <c r="C20" s="13" t="s">
        <v>60</v>
      </c>
      <c r="D20" s="14">
        <f>IF(B20="",,IFERROR(VLOOKUP(B20, SetValues!A:B, 2, FALSE), 0))</f>
        <v>0</v>
      </c>
      <c r="E20" s="14">
        <f>IF(C20="",,IFERROR(VLOOKUP(C20, SetValues!A:B, 2, FALSE), 0))</f>
        <v>0</v>
      </c>
      <c r="F20" s="14">
        <f t="shared" si="1"/>
        <v>0</v>
      </c>
    </row>
    <row r="21">
      <c r="A21" s="13" t="s">
        <v>91</v>
      </c>
      <c r="B21" s="13" t="s">
        <v>92</v>
      </c>
      <c r="C21" s="13" t="s">
        <v>58</v>
      </c>
      <c r="D21" s="14">
        <f>IF(B21="",,IFERROR(VLOOKUP(B21, SetValues!A:B, 2, FALSE), 0))</f>
        <v>0</v>
      </c>
      <c r="E21" s="14">
        <f>IF(C21="",,IFERROR(VLOOKUP(C21, SetValues!A:B, 2, FALSE), 0))</f>
        <v>0</v>
      </c>
      <c r="F21" s="14">
        <f t="shared" si="1"/>
        <v>0</v>
      </c>
    </row>
    <row r="22">
      <c r="A22" s="13" t="s">
        <v>93</v>
      </c>
      <c r="B22" s="13" t="s">
        <v>94</v>
      </c>
      <c r="C22" s="13" t="s">
        <v>95</v>
      </c>
      <c r="D22" s="14">
        <f>IF(B22="",,IFERROR(VLOOKUP(B22, SetValues!A:B, 2, FALSE), 0))</f>
        <v>0</v>
      </c>
      <c r="E22" s="14">
        <f>IF(C22="",,IFERROR(VLOOKUP(C22, SetValues!A:B, 2, FALSE), 0))</f>
        <v>0</v>
      </c>
      <c r="F22" s="14">
        <f t="shared" si="1"/>
        <v>0</v>
      </c>
    </row>
    <row r="23">
      <c r="A23" s="13" t="s">
        <v>96</v>
      </c>
      <c r="B23" s="13" t="s">
        <v>97</v>
      </c>
      <c r="C23" s="13" t="s">
        <v>98</v>
      </c>
      <c r="D23" s="14">
        <f>IF(B23="",,IFERROR(VLOOKUP(B23, SetValues!A:B, 2, FALSE), 0))</f>
        <v>0</v>
      </c>
      <c r="E23" s="14">
        <f>IF(C23="",,IFERROR(VLOOKUP(C23, SetValues!A:B, 2, FALSE), 0))</f>
        <v>0</v>
      </c>
      <c r="F23" s="14">
        <f t="shared" si="1"/>
        <v>0</v>
      </c>
    </row>
    <row r="24">
      <c r="A24" s="13" t="s">
        <v>99</v>
      </c>
      <c r="B24" s="13" t="s">
        <v>100</v>
      </c>
      <c r="C24" s="13" t="s">
        <v>101</v>
      </c>
      <c r="D24" s="14">
        <f>IF(B24="",,IFERROR(VLOOKUP(B24, SetValues!A:B, 2, FALSE), 0))</f>
        <v>0</v>
      </c>
      <c r="E24" s="14">
        <f>IF(C24="",,IFERROR(VLOOKUP(C24, SetValues!A:B, 2, FALSE), 0))</f>
        <v>0</v>
      </c>
      <c r="F24" s="14">
        <f t="shared" si="1"/>
        <v>0</v>
      </c>
    </row>
    <row r="25">
      <c r="A25" s="13" t="s">
        <v>102</v>
      </c>
      <c r="B25" s="13" t="s">
        <v>103</v>
      </c>
      <c r="C25" s="13" t="s">
        <v>104</v>
      </c>
      <c r="D25" s="14">
        <f>IF(B25="",,IFERROR(VLOOKUP(B25, SetValues!A:B, 2, FALSE), 0))</f>
        <v>0</v>
      </c>
      <c r="E25" s="14">
        <f>IF(C25="",,IFERROR(VLOOKUP(C25, SetValues!A:B, 2, FALSE), 0))</f>
        <v>0</v>
      </c>
      <c r="F25" s="14">
        <f t="shared" si="1"/>
        <v>0</v>
      </c>
    </row>
    <row r="26">
      <c r="A26" s="13" t="s">
        <v>105</v>
      </c>
      <c r="B26" s="13" t="s">
        <v>106</v>
      </c>
      <c r="C26" s="13" t="s">
        <v>20</v>
      </c>
      <c r="D26" s="14">
        <f>IF(B26="",,IFERROR(VLOOKUP(B26, SetValues!A:B, 2, FALSE), 0))</f>
        <v>0</v>
      </c>
      <c r="E26" s="14">
        <f>IF(C26="",,IFERROR(VLOOKUP(C26, SetValues!A:B, 2, FALSE), 0))</f>
        <v>0</v>
      </c>
      <c r="F26" s="14">
        <f t="shared" si="1"/>
        <v>0</v>
      </c>
    </row>
    <row r="27">
      <c r="A27" s="13" t="s">
        <v>107</v>
      </c>
      <c r="B27" s="13" t="s">
        <v>29</v>
      </c>
      <c r="C27" s="13" t="s">
        <v>108</v>
      </c>
      <c r="D27" s="14">
        <f>IF(B27="",,IFERROR(VLOOKUP(B27, SetValues!A:B, 2, FALSE), 0))</f>
        <v>0</v>
      </c>
      <c r="E27" s="14">
        <f>IF(C27="",,IFERROR(VLOOKUP(C27, SetValues!A:B, 2, FALSE), 0))</f>
        <v>0</v>
      </c>
      <c r="F27" s="14">
        <f t="shared" si="1"/>
        <v>0</v>
      </c>
    </row>
  </sheetData>
  <drawing r:id="rId1"/>
</worksheet>
</file>